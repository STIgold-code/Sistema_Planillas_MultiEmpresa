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ronograma" state="visible" r:id="rId4"/>
    <sheet sheetId="2" name="Ejemplo" state="visible" r:id="rId5"/>
    <sheet sheetId="3" name="Instructivo" state="visible" r:id="rId6"/>
  </sheets>
  <definedNames>
    <definedName name="_xlnm.Print_Area" localSheetId="0">'Cronograma'!$A1:$I55</definedName>
    <definedName name="_xlnm.Print_Area" localSheetId="1">'Ejemplo'!$A1:$I55</definedName>
  </definedNames>
  <calcPr calcId="171027"/>
</workbook>
</file>

<file path=xl/sharedStrings.xml><?xml version="1.0" encoding="utf-8"?>
<sst xmlns="http://schemas.openxmlformats.org/spreadsheetml/2006/main" count="162" uniqueCount="110">
  <si>
    <t>CRONOGRAMA DE DESCUENTO DE PRÉSTAMO / ADELANTO</t>
  </si>
  <si>
    <t>Anexo del convenio de descuento en planilla — autorización escrita del trabajador</t>
  </si>
  <si>
    <t>1. IDENTIFICACIÓN</t>
  </si>
  <si>
    <t>Empresa (razón social) *</t>
  </si>
  <si>
    <t>RUC *</t>
  </si>
  <si>
    <t>Domicilio fiscal</t>
  </si>
  <si>
    <t>N.° de documento *</t>
  </si>
  <si>
    <t>Trabajador (apellidos y nombres) *</t>
  </si>
  <si>
    <t>Tipo y N.° de documento *</t>
  </si>
  <si>
    <t>Cargo</t>
  </si>
  <si>
    <t>Fecha de ingreso</t>
  </si>
  <si>
    <t>Área / centro de costo</t>
  </si>
  <si>
    <t>Régimen laboral</t>
  </si>
  <si>
    <t>Remuneración mensual (S/) *</t>
  </si>
  <si>
    <t>Neto promedio referencial (S/)</t>
  </si>
  <si>
    <t>2. CONDICIONES DEL PRÉSTAMO</t>
  </si>
  <si>
    <t>Tipo *</t>
  </si>
  <si>
    <t>Fecha de otorgamiento *</t>
  </si>
  <si>
    <t>Monto otorgado (S/) *</t>
  </si>
  <si>
    <t>Modalidad de entrega</t>
  </si>
  <si>
    <t>Número de cuotas *</t>
  </si>
  <si>
    <t>N.° de operación / cheque</t>
  </si>
  <si>
    <t>Cuota mensual (S/)</t>
  </si>
  <si>
    <t>Banco y cuenta de abono</t>
  </si>
  <si>
    <t>Primer período de descuento *</t>
  </si>
  <si>
    <t>Último período (calculado)</t>
  </si>
  <si>
    <t>Incidencia de la cuota sobre la remuneración</t>
  </si>
  <si>
    <t>Motivo del préstamo</t>
  </si>
  <si>
    <t>3. CRONOGRAMA DE DESCUENTO</t>
  </si>
  <si>
    <t>N.°</t>
  </si>
  <si>
    <t>Período (AAAA-MM)</t>
  </si>
  <si>
    <t>Fecha de descuento</t>
  </si>
  <si>
    <t>Saldo inicial</t>
  </si>
  <si>
    <t>Cuota</t>
  </si>
  <si>
    <t>Saldo final</t>
  </si>
  <si>
    <t>Planilla</t>
  </si>
  <si>
    <t>Estado</t>
  </si>
  <si>
    <t>Observación</t>
  </si>
  <si>
    <t>TOTAL PROGRAMADO</t>
  </si>
  <si>
    <t>4. AUTORIZACIÓN DE DESCUENTO</t>
  </si>
  <si>
    <t>El trabajador declara haber recibido el monto otorgado y autoriza de forma expresa a la empresa a descontar de su remuneración mensual la cuota indicada en este cronograma, hasta la cancelación total de la deuda. Asimismo, autoriza que, en caso de cese por cualquier causa, el saldo pendiente se descuente de su liquidación de beneficios sociales. Cualquier modificación del monto, del número de cuotas o del calendario de descuento requiere un nuevo cronograma firmado por ambas partes. Este documento forma parte del convenio de préstamo y se archiva en el legajo del trabajador.</t>
  </si>
  <si>
    <t>EL TRABAJADOR</t>
  </si>
  <si>
    <t>EL EMPLEADOR</t>
  </si>
  <si>
    <t>LUGAR Y FECHA</t>
  </si>
  <si>
    <t xml:space="preserve">Firma:
Nombre:
DNI / CE:
Huella digital:</t>
  </si>
  <si>
    <t xml:space="preserve">Firma:
Nombre:
Cargo:
Representante legal</t>
  </si>
  <si>
    <t xml:space="preserve">Lugar:
Fecha:</t>
  </si>
  <si>
    <t>Leyenda:</t>
  </si>
  <si>
    <t>Celda amarilla = la llenas tú</t>
  </si>
  <si>
    <t>Celda gris = se calcula sola, no la edites</t>
  </si>
  <si>
    <t>(*) Campo obligatorio. Sin él, el cronograma no se calcula.</t>
  </si>
  <si>
    <t>GRUPO BM S.A.C.</t>
  </si>
  <si>
    <t>20512345678</t>
  </si>
  <si>
    <t>Av. Ejemplo 123, Lima</t>
  </si>
  <si>
    <t>PRE-2026-0041</t>
  </si>
  <si>
    <t>PÉREZ QUISPE, JUAN CARLOS</t>
  </si>
  <si>
    <t>DNI 45678912</t>
  </si>
  <si>
    <t>Operario de producción</t>
  </si>
  <si>
    <t>Planta Lima</t>
  </si>
  <si>
    <t>General (D.L. 728)</t>
  </si>
  <si>
    <t>PRÉSTAMO</t>
  </si>
  <si>
    <t>Transferencia bancaria</t>
  </si>
  <si>
    <t>0093-884512</t>
  </si>
  <si>
    <t>BCP — 191-9876543-0-11</t>
  </si>
  <si>
    <t>Gastos médicos familiares</t>
  </si>
  <si>
    <t>INSTRUCTIVO — Cronograma de descuento de préstamo</t>
  </si>
  <si>
    <t>Cómo se usa</t>
  </si>
  <si>
    <t>Llena solo las celdas amarillas de la hoja "Cronograma". El calendario, las cuotas y los saldos se calculan solos.</t>
  </si>
  <si>
    <t>Revisa la celda de cuadre al final de la tabla: debe decir "Cuadra con el monto otorgado".</t>
  </si>
  <si>
    <t>Imprime, fírmalo con el trabajador y adjúntalo al convenio de préstamo. Sin firma no se puede descontar de la remuneración.</t>
  </si>
  <si>
    <t>Registra el préstamo en el sistema con los mismos valores (ver el mapeo de abajo) y sube el PDF firmado como archivo del préstamo.</t>
  </si>
  <si>
    <t>Cada vez que una planilla descuente una cuota, marca la fila como DESCONTADA y anota el número de planilla.</t>
  </si>
  <si>
    <t>Mapeo con el sistema</t>
  </si>
  <si>
    <t>Campo del formato</t>
  </si>
  <si>
    <t>Campo del sistema</t>
  </si>
  <si>
    <t>Nota</t>
  </si>
  <si>
    <t>Tipo</t>
  </si>
  <si>
    <t>prestamos.tipo</t>
  </si>
  <si>
    <t>PRÉSTAMO → PRESTAMO · ADELANTO DE SUELDO → ADELANTO_SUELDO · ADELANTO DE GRATIFICACIÓN → ADELANTO_GRATIFICACION</t>
  </si>
  <si>
    <t>Monto otorgado</t>
  </si>
  <si>
    <t>prestamos.monto_total</t>
  </si>
  <si>
    <t>Déjalo vacío solo si es un descuento recurrente sin monto definido.</t>
  </si>
  <si>
    <t>Cuota mensual</t>
  </si>
  <si>
    <t>prestamos.cuota_mensual</t>
  </si>
  <si>
    <t>Obligatorio siempre, incluso en descuentos recurrentes.</t>
  </si>
  <si>
    <t>Monto otorgado (saldo inicial)</t>
  </si>
  <si>
    <t>prestamos.saldo</t>
  </si>
  <si>
    <t>Arranca igual al monto otorgado. Cada planilla aprobada lo amortiza.</t>
  </si>
  <si>
    <t>Fecha de otorgamiento</t>
  </si>
  <si>
    <t>prestamos.fecha_otorgado</t>
  </si>
  <si>
    <t>Es la fecha de entrega del dinero, no la del primer descuento.</t>
  </si>
  <si>
    <t>prestamos.observaciones</t>
  </si>
  <si>
    <t>Máximo 500 caracteres.</t>
  </si>
  <si>
    <t>Este documento firmado</t>
  </si>
  <si>
    <t>prestamos_archivos</t>
  </si>
  <si>
    <t>Sube el PDF escaneado. Es el respaldo de la autorización de descuento.</t>
  </si>
  <si>
    <t>Planilla (por cuota)</t>
  </si>
  <si>
    <t>prestamos_movimientos.planilla_id</t>
  </si>
  <si>
    <t>El sistema lo registra al aprobar la planilla, como CARGO_PLANILLA.</t>
  </si>
  <si>
    <t>Reglas que ya aplica el motor de planilla</t>
  </si>
  <si>
    <t>Última cuota</t>
  </si>
  <si>
    <t>La cuota nunca excede el saldo. Si el saldo es 150 y la cuota 500, se descuenta 150 y el préstamo queda PAGADO. En el cronograma, la última cuota además absorbe el residuo del redondeo para que el total cuadre con el monto otorgado.</t>
  </si>
  <si>
    <t>Adelanto de gratificación</t>
  </si>
  <si>
    <t>Solo descuenta en julio y diciembre (Ley 27735). Al elegir ese tipo, el cronograma salta automáticamente a esos meses.</t>
  </si>
  <si>
    <t>Varios préstamos activos</t>
  </si>
  <si>
    <t>La planilla suma las cuotas y amortiza primero el préstamo más antiguo.</t>
  </si>
  <si>
    <t>Re-aprobar una planilla</t>
  </si>
  <si>
    <t>No vuelve a descontar: el cargo por planilla es idempotente.</t>
  </si>
  <si>
    <t>Incidencia sobre la remuneración</t>
  </si>
  <si>
    <t>Es un control interno de la empresa, no un tope legal. Sirve para no dejar al trabajador sin líquido.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</si>
</sst>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mmmm yyyy"/>
    <numFmt numFmtId="166" formatCode="0.0%"/>
  </numFmts>
  <fonts count="17" x14ac:knownFonts="1">
    <font>
      <color theme="1"/>
      <family val="2"/>
      <scheme val="minor"/>
      <sz val="11"/>
      <name val="Calibri"/>
    </font>
    <font>
      <b/>
      <color rgb="FFFFFFFF"/>
      <sz val="14"/>
    </font>
    <font>
      <i/>
      <color rgb="FF595959"/>
      <sz val="9"/>
    </font>
    <font>
      <b/>
      <color rgb="FF1F3864"/>
      <sz val="11"/>
    </font>
    <font>
      <b/>
      <sz val="9"/>
    </font>
    <font>
      <sz val="9"/>
    </font>
    <font>
      <b/>
      <color rgb="FFFFFFFF"/>
      <sz val="9"/>
    </font>
    <font>
      <color rgb="FF595959"/>
      <sz val="8"/>
    </font>
    <font>
      <b/>
      <sz val="8"/>
    </font>
    <font>
      <sz val="8"/>
    </font>
    <font>
      <i/>
      <color rgb="FF595959"/>
      <sz val="8"/>
    </font>
    <font>
      <b/>
      <color rgb="FFFFFFFF"/>
      <sz val="13"/>
    </font>
    <font>
      <b/>
      <color rgb="FF1F3864"/>
      <sz val="10"/>
    </font>
    <font>
      <b/>
      <color rgb="FF1F3864"/>
      <sz val="9"/>
    </font>
    <font>
      <b/>
      <color rgb="FF000000"/>
      <sz val="9"/>
    </font>
    <font>
      <color rgb="FF1F6F3D"/>
      <sz val="9"/>
    </font>
    <font>
      <color rgb="FF000000"/>
      <sz val="9"/>
    </font>
  </fonts>
  <fills count="7">
    <fill>
      <patternFill patternType="none"/>
    </fill>
    <fill>
      <patternFill patternType="gray125"/>
    </fill>
    <fill>
      <patternFill patternType="solid">
        <fgColor rgb="FF1F3864"/>
      </patternFill>
    </fill>
    <fill>
      <patternFill patternType="solid">
        <fgColor rgb="FFD9E2F3"/>
      </patternFill>
    </fill>
    <fill>
      <patternFill patternType="solid">
        <fgColor rgb="FFF2F2F2"/>
      </patternFill>
    </fill>
    <fill>
      <patternFill patternType="solid">
        <fgColor rgb="FFFFF9E6"/>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7">
    <xf numFmtId="0" fontId="0" fillId="0" borderId="0" xfId="0"/>
    <xf numFmtId="0" fontId="1" fillId="2" borderId="0" xfId="0" applyFont="1" applyFill="1" applyAlignment="1">
      <alignment horizontal="center" vertical="center"/>
    </xf>
    <xf numFmtId="0" fontId="2" fillId="0" borderId="0" xfId="0" applyFont="1" applyAlignment="1">
      <alignment horizontal="center"/>
    </xf>
    <xf numFmtId="0" fontId="3" fillId="3" borderId="1" xfId="0" applyFont="1" applyFill="1" applyBorder="1" applyAlignment="1">
      <alignment vertical="center" indent="1"/>
    </xf>
    <xf numFmtId="0" fontId="4" fillId="4" borderId="1" xfId="0" applyFont="1" applyFill="1" applyBorder="1" applyAlignment="1">
      <alignment vertical="center" wrapText="1" indent="1"/>
    </xf>
    <xf numFmtId="0" fontId="5" fillId="5" borderId="1" xfId="0" applyFont="1" applyFill="1" applyBorder="1" applyAlignment="1">
      <alignment vertical="center" indent="1"/>
    </xf>
    <xf numFmtId="164" fontId="5" fillId="5" borderId="1" xfId="0" applyNumberFormat="1" applyFont="1" applyFill="1" applyBorder="1" applyAlignment="1">
      <alignment vertical="center" indent="1"/>
    </xf>
    <xf numFmtId="4" fontId="5" fillId="5" borderId="1" xfId="0" applyNumberFormat="1" applyFont="1" applyFill="1" applyBorder="1" applyAlignment="1">
      <alignment vertical="center" indent="1"/>
    </xf>
    <xf numFmtId="1" fontId="5" fillId="5" borderId="1" xfId="0" applyNumberFormat="1" applyFont="1" applyFill="1" applyBorder="1" applyAlignment="1">
      <alignment vertical="center" indent="1"/>
    </xf>
    <xf numFmtId="4" fontId="2" fillId="6" borderId="1" xfId="0" applyNumberFormat="1" applyFont="1" applyFill="1" applyBorder="1" applyAlignment="1">
      <alignment vertical="center" indent="1"/>
    </xf>
    <xf numFmtId="165" fontId="5" fillId="5" borderId="1" xfId="0" applyNumberFormat="1" applyFont="1" applyFill="1" applyBorder="1" applyAlignment="1">
      <alignment vertical="center" indent="1"/>
    </xf>
    <xf numFmtId="165" fontId="2" fillId="6" borderId="1" xfId="0" applyNumberFormat="1" applyFont="1" applyFill="1" applyBorder="1" applyAlignment="1">
      <alignment vertical="center" indent="1"/>
    </xf>
    <xf numFmtId="166" fontId="2" fillId="6" borderId="1" xfId="0" applyNumberFormat="1" applyFont="1" applyFill="1" applyBorder="1" applyAlignment="1">
      <alignment vertical="center" indent="1"/>
    </xf>
    <xf numFmtId="0" fontId="6" fillId="2" borderId="1" xfId="0" applyFont="1" applyFill="1" applyBorder="1" applyAlignment="1">
      <alignment horizontal="center" vertical="center" wrapText="1"/>
    </xf>
    <xf numFmtId="0" fontId="5" fillId="6" borderId="1" xfId="0" applyFont="1" applyFill="1" applyBorder="1" applyAlignment="1">
      <alignment horizontal="center"/>
    </xf>
    <xf numFmtId="164" fontId="5" fillId="6" borderId="1" xfId="0" applyNumberFormat="1" applyFont="1" applyFill="1" applyBorder="1"/>
    <xf numFmtId="4" fontId="5" fillId="6" borderId="1" xfId="0" applyNumberFormat="1" applyFont="1" applyFill="1" applyBorder="1"/>
    <xf numFmtId="0" fontId="5" fillId="5" borderId="1" xfId="0" applyFont="1" applyFill="1" applyBorder="1"/>
    <xf numFmtId="0" fontId="6" fillId="2" borderId="1" xfId="0" applyFont="1" applyFill="1" applyBorder="1" applyAlignment="1">
      <alignment horizontal="right" vertical="center" indent="1"/>
    </xf>
    <xf numFmtId="4" fontId="6" fillId="2" borderId="1" xfId="0" applyNumberFormat="1" applyFont="1" applyFill="1" applyBorder="1"/>
    <xf numFmtId="0" fontId="6" fillId="2" borderId="1" xfId="0" applyFont="1" applyFill="1" applyBorder="1" applyAlignment="1">
      <alignment horizontal="center" vertical="center"/>
    </xf>
    <xf numFmtId="0" fontId="5" fillId="0" borderId="1" xfId="0" applyFont="1" applyBorder="1" applyAlignment="1">
      <alignment vertical="top" wrapText="1"/>
    </xf>
    <xf numFmtId="0" fontId="4" fillId="4" borderId="1" xfId="0" applyFont="1" applyFill="1" applyBorder="1" applyAlignment="1">
      <alignment horizontal="center" vertical="center"/>
    </xf>
    <xf numFmtId="0" fontId="7" fillId="0" borderId="1" xfId="0" applyFont="1" applyBorder="1" applyAlignment="1">
      <alignment vertical="top" wrapText="1" indent="1"/>
    </xf>
    <xf numFmtId="0" fontId="8" fillId="0" borderId="0" xfId="0" applyFont="1"/>
    <xf numFmtId="0" fontId="9" fillId="5" borderId="0" xfId="0" applyFont="1" applyFill="1"/>
    <xf numFmtId="0" fontId="9" fillId="6" borderId="0" xfId="0" applyFont="1" applyFill="1"/>
    <xf numFmtId="0" fontId="10" fillId="0" borderId="0" xfId="0" applyFont="1"/>
    <xf numFmtId="0" fontId="11" fillId="2" borderId="0" xfId="0" applyFont="1" applyFill="1" applyAlignment="1">
      <alignment horizontal="center" vertical="center"/>
    </xf>
    <xf numFmtId="0" fontId="12" fillId="3" borderId="0" xfId="0" applyFont="1" applyFill="1" applyAlignment="1">
      <alignment vertical="center" indent="1"/>
    </xf>
    <xf numFmtId="0" fontId="13" fillId="0" borderId="0" xfId="0" applyFont="1" applyAlignment="1">
      <alignment horizontal="center" vertical="top"/>
    </xf>
    <xf numFmtId="0" fontId="5" fillId="0" borderId="0" xfId="0" applyFont="1" applyAlignment="1">
      <alignment vertical="top" wrapText="1"/>
    </xf>
    <xf numFmtId="0" fontId="14" fillId="4" borderId="1" xfId="0" applyFont="1" applyFill="1" applyBorder="1" applyAlignment="1">
      <alignment vertical="top" wrapText="1"/>
    </xf>
    <xf numFmtId="0" fontId="14" fillId="0" borderId="1" xfId="0" applyFont="1" applyBorder="1" applyAlignment="1">
      <alignment vertical="top" wrapText="1"/>
    </xf>
    <xf numFmtId="0" fontId="15" fillId="0" borderId="1" xfId="0" applyFont="1" applyBorder="1" applyAlignment="1">
      <alignment vertical="top" wrapText="1"/>
    </xf>
    <xf numFmtId="0" fontId="16" fillId="0" borderId="1" xfId="0" applyFont="1" applyBorder="1" applyAlignment="1">
      <alignment vertical="top" wrapText="1"/>
    </xf>
    <xf numFmtId="0" fontId="4"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5"/>
  <sheetViews>
    <sheetView workbookViewId="0" showGridLines="0">
      <pane ySplit="21" topLeftCell="A22" activePane="bottomLeft" state="frozen"/>
      <selection pane="bottomLeft"/>
    </sheetView>
  </sheetViews>
  <sheetFormatPr defaultRowHeight="15" outlineLevelRow="0" outlineLevelCol="0" x14ac:dyDescent="55"/>
  <cols>
    <col min="1" max="1" width="6" customWidth="1"/>
    <col min="2" max="2" width="22" customWidth="1"/>
    <col min="3" max="3" width="14" customWidth="1"/>
    <col min="4" max="4" width="12" customWidth="1"/>
    <col min="5" max="7" width="13" customWidth="1"/>
    <col min="8" max="8" width="14" customWidth="1"/>
    <col min="9" max="9" width="26" customWidth="1"/>
  </cols>
  <sheetData>
    <row r="1" ht="28" customHeight="1" spans="1:9" x14ac:dyDescent="0.25">
      <c r="A1" s="1" t="s">
        <v>0</v>
      </c>
      <c r="B1" s="1"/>
      <c r="C1" s="1"/>
      <c r="D1" s="1"/>
      <c r="E1" s="1"/>
      <c r="F1" s="1"/>
      <c r="G1" s="1"/>
      <c r="H1" s="1"/>
      <c r="I1" s="1"/>
    </row>
    <row r="2" spans="1:9" x14ac:dyDescent="0.25">
      <c r="A2" s="2" t="s">
        <v>1</v>
      </c>
      <c r="B2" s="2"/>
      <c r="C2" s="2"/>
      <c r="D2" s="2"/>
      <c r="E2" s="2"/>
      <c r="F2" s="2"/>
      <c r="G2" s="2"/>
      <c r="H2" s="2"/>
      <c r="I2" s="2"/>
    </row>
    <row r="3" ht="6" customHeight="1" x14ac:dyDescent="0.25"/>
    <row r="4" ht="20" customHeight="1" spans="1:9" x14ac:dyDescent="0.25">
      <c r="A4" s="3" t="s">
        <v>2</v>
      </c>
      <c r="B4" s="3"/>
      <c r="C4" s="3"/>
      <c r="D4" s="3"/>
      <c r="E4" s="3"/>
      <c r="F4" s="3"/>
      <c r="G4" s="3"/>
      <c r="H4" s="3"/>
      <c r="I4" s="3"/>
    </row>
    <row r="5" spans="1:9" x14ac:dyDescent="0.25">
      <c r="A5" s="4" t="s">
        <v>3</v>
      </c>
      <c r="B5" s="5"/>
      <c r="C5" s="5"/>
      <c r="D5" s="5"/>
      <c r="F5" s="4" t="s">
        <v>4</v>
      </c>
      <c r="G5" s="5"/>
      <c r="H5" s="5"/>
      <c r="I5" s="5"/>
    </row>
    <row r="6" spans="1:9" x14ac:dyDescent="0.25">
      <c r="A6" s="4" t="s">
        <v>5</v>
      </c>
      <c r="B6" s="5"/>
      <c r="C6" s="5"/>
      <c r="D6" s="5"/>
      <c r="F6" s="4" t="s">
        <v>6</v>
      </c>
      <c r="G6" s="5"/>
      <c r="H6" s="5"/>
      <c r="I6" s="5"/>
    </row>
    <row r="7" spans="1:9" x14ac:dyDescent="0.25">
      <c r="A7" s="4" t="s">
        <v>7</v>
      </c>
      <c r="B7" s="5"/>
      <c r="C7" s="5"/>
      <c r="D7" s="5"/>
      <c r="F7" s="4" t="s">
        <v>8</v>
      </c>
      <c r="G7" s="5"/>
      <c r="H7" s="5"/>
      <c r="I7" s="5"/>
    </row>
    <row r="8" spans="1:9" x14ac:dyDescent="0.25">
      <c r="A8" s="4" t="s">
        <v>9</v>
      </c>
      <c r="B8" s="5"/>
      <c r="C8" s="5"/>
      <c r="D8" s="5"/>
      <c r="F8" s="4" t="s">
        <v>10</v>
      </c>
      <c r="G8" s="6"/>
      <c r="H8" s="6"/>
      <c r="I8" s="6"/>
    </row>
    <row r="9" spans="1:9" x14ac:dyDescent="0.25">
      <c r="A9" s="4" t="s">
        <v>11</v>
      </c>
      <c r="B9" s="5"/>
      <c r="C9" s="5"/>
      <c r="D9" s="5"/>
      <c r="F9" s="4" t="s">
        <v>12</v>
      </c>
      <c r="G9" s="5"/>
      <c r="H9" s="5"/>
      <c r="I9" s="5"/>
    </row>
    <row r="10" spans="1:9" x14ac:dyDescent="0.25">
      <c r="A10" s="4" t="s">
        <v>13</v>
      </c>
      <c r="B10" s="7"/>
      <c r="C10" s="7"/>
      <c r="D10" s="7"/>
      <c r="F10" s="4" t="s">
        <v>14</v>
      </c>
      <c r="G10" s="7"/>
      <c r="H10" s="7"/>
      <c r="I10" s="7"/>
    </row>
    <row r="11" ht="6" customHeight="1" x14ac:dyDescent="0.25"/>
    <row r="12" ht="20" customHeight="1" spans="1:9" x14ac:dyDescent="0.25">
      <c r="A12" s="3" t="s">
        <v>15</v>
      </c>
      <c r="B12" s="3"/>
      <c r="C12" s="3"/>
      <c r="D12" s="3"/>
      <c r="E12" s="3"/>
      <c r="F12" s="3"/>
      <c r="G12" s="3"/>
      <c r="H12" s="3"/>
      <c r="I12" s="3"/>
    </row>
    <row r="13" spans="1:9" x14ac:dyDescent="0.25">
      <c r="A13" s="4" t="s">
        <v>16</v>
      </c>
      <c r="B13" s="5"/>
      <c r="C13" s="5"/>
      <c r="D13" s="5"/>
      <c r="F13" s="4" t="s">
        <v>17</v>
      </c>
      <c r="G13" s="6"/>
      <c r="H13" s="6"/>
      <c r="I13" s="6"/>
    </row>
    <row r="14" spans="1:9" x14ac:dyDescent="0.25">
      <c r="A14" s="4" t="s">
        <v>18</v>
      </c>
      <c r="B14" s="7"/>
      <c r="C14" s="7"/>
      <c r="D14" s="7"/>
      <c r="F14" s="4" t="s">
        <v>19</v>
      </c>
      <c r="G14" s="5"/>
      <c r="H14" s="5"/>
      <c r="I14" s="5"/>
    </row>
    <row r="15" spans="1:9" x14ac:dyDescent="0.25">
      <c r="A15" s="4" t="s">
        <v>20</v>
      </c>
      <c r="B15" s="8"/>
      <c r="C15" s="8"/>
      <c r="D15" s="8"/>
      <c r="F15" s="4" t="s">
        <v>21</v>
      </c>
      <c r="G15" s="5"/>
      <c r="H15" s="5"/>
      <c r="I15" s="5"/>
    </row>
    <row r="16" spans="1:9" x14ac:dyDescent="0.25">
      <c r="A16" s="4" t="s">
        <v>22</v>
      </c>
      <c r="B16" s="9">
        <f>IF(N(B15)&gt;0,ROUND(B14/B15,2),0)</f>
      </c>
      <c r="C16" s="9"/>
      <c r="D16" s="9"/>
      <c r="F16" s="4" t="s">
        <v>23</v>
      </c>
      <c r="G16" s="5"/>
      <c r="H16" s="5"/>
      <c r="I16" s="5"/>
    </row>
    <row r="17" spans="1:9" x14ac:dyDescent="0.25">
      <c r="A17" s="4" t="s">
        <v>24</v>
      </c>
      <c r="B17" s="10"/>
      <c r="C17" s="10"/>
      <c r="D17" s="10"/>
      <c r="F17" s="4" t="s">
        <v>25</v>
      </c>
      <c r="G17" s="11">
        <f>IFERROR(LOOKUP(2,1/($E$22:$E$45&gt;0),$C$22:$C$45),"")</f>
      </c>
      <c r="H17" s="11"/>
      <c r="I17" s="11"/>
    </row>
    <row r="18" spans="1:9" x14ac:dyDescent="0.25">
      <c r="A18" s="4" t="s">
        <v>26</v>
      </c>
      <c r="B18" s="12">
        <f>IF(N(B10)&gt;0,B16/B10,"")</f>
      </c>
      <c r="C18" s="12"/>
      <c r="D18" s="12"/>
      <c r="F18" s="4" t="s">
        <v>27</v>
      </c>
      <c r="G18" s="5"/>
      <c r="H18" s="5"/>
      <c r="I18" s="5"/>
    </row>
    <row r="19" ht="6" customHeight="1" x14ac:dyDescent="0.25"/>
    <row r="20" ht="20" customHeight="1" spans="1:9" x14ac:dyDescent="0.25">
      <c r="A20" s="3" t="s">
        <v>28</v>
      </c>
      <c r="B20" s="3"/>
      <c r="C20" s="3"/>
      <c r="D20" s="3"/>
      <c r="E20" s="3"/>
      <c r="F20" s="3"/>
      <c r="G20" s="3"/>
      <c r="H20" s="3"/>
      <c r="I20" s="3"/>
    </row>
    <row r="21" ht="26" customHeight="1" spans="1:9" x14ac:dyDescent="0.25">
      <c r="A21" s="13" t="s">
        <v>29</v>
      </c>
      <c r="B21" s="13" t="s">
        <v>30</v>
      </c>
      <c r="C21" s="13" t="s">
        <v>31</v>
      </c>
      <c r="D21" s="13" t="s">
        <v>32</v>
      </c>
      <c r="E21" s="13" t="s">
        <v>33</v>
      </c>
      <c r="F21" s="13" t="s">
        <v>34</v>
      </c>
      <c r="G21" s="13" t="s">
        <v>35</v>
      </c>
      <c r="H21" s="13" t="s">
        <v>36</v>
      </c>
      <c r="I21" s="13" t="s">
        <v>37</v>
      </c>
    </row>
    <row r="22" ht="15" customHeight="1" spans="1:9" x14ac:dyDescent="0.25">
      <c r="A22" s="14">
        <f>IF(ROW()-21&lt;=N($B$15),ROW()-21,"")</f>
      </c>
      <c r="B22" s="14">
        <f>IF($C22="","",TEXT($C22,"yyyy-mm"))</f>
      </c>
      <c r="C22" s="15">
        <f>IF($A22="","",EOMONTH($B$17,0))</f>
      </c>
      <c r="D22" s="16">
        <f>IF($A22="","",$B$14)</f>
      </c>
      <c r="E22" s="16">
        <f>IF($A22="","",IF($A22=N($B$15),ROUND(N($D22),2),ROUND(MIN($B$16,N($D22)),2)))</f>
      </c>
      <c r="F22" s="16">
        <f>IF($A22="","",ROUND(N($D22)-N($E22),2))</f>
      </c>
      <c r="G22" s="17"/>
      <c r="H22" s="14">
        <f>IF($A22="","","PENDIENTE")</f>
      </c>
      <c r="I22" s="17"/>
    </row>
    <row r="23" ht="15" customHeight="1" spans="1:9" x14ac:dyDescent="0.25">
      <c r="A23" s="14">
        <f>IF(ROW()-21&lt;=N($B$15),ROW()-21,"")</f>
      </c>
      <c r="B23" s="14">
        <f>IF($C23="","",TEXT($C23,"yyyy-mm"))</f>
      </c>
      <c r="C23" s="15">
        <f>IF($A23="","",IF($B$13="ADELANTO DE GRATIFICACIÓN",IF(MONTH($C22)=7,EOMONTH($C22,5),EOMONTH($C22,7)),EOMONTH($C22,1)))</f>
      </c>
      <c r="D23" s="16">
        <f>IF($A23="","",$F22)</f>
      </c>
      <c r="E23" s="16">
        <f>IF($A23="","",IF($A23=N($B$15),ROUND(N($D23),2),ROUND(MIN($B$16,N($D23)),2)))</f>
      </c>
      <c r="F23" s="16">
        <f>IF($A23="","",ROUND(N($D23)-N($E23),2))</f>
      </c>
      <c r="G23" s="17"/>
      <c r="H23" s="14">
        <f>IF($A23="","","PENDIENTE")</f>
      </c>
      <c r="I23" s="17"/>
    </row>
    <row r="24" ht="15" customHeight="1" spans="1:9" x14ac:dyDescent="0.25">
      <c r="A24" s="14">
        <f>IF(ROW()-21&lt;=N($B$15),ROW()-21,"")</f>
      </c>
      <c r="B24" s="14">
        <f>IF($C24="","",TEXT($C24,"yyyy-mm"))</f>
      </c>
      <c r="C24" s="15">
        <f>IF($A24="","",IF($B$13="ADELANTO DE GRATIFICACIÓN",IF(MONTH($C23)=7,EOMONTH($C23,5),EOMONTH($C23,7)),EOMONTH($C23,1)))</f>
      </c>
      <c r="D24" s="16">
        <f>IF($A24="","",$F23)</f>
      </c>
      <c r="E24" s="16">
        <f>IF($A24="","",IF($A24=N($B$15),ROUND(N($D24),2),ROUND(MIN($B$16,N($D24)),2)))</f>
      </c>
      <c r="F24" s="16">
        <f>IF($A24="","",ROUND(N($D24)-N($E24),2))</f>
      </c>
      <c r="G24" s="17"/>
      <c r="H24" s="14">
        <f>IF($A24="","","PENDIENTE")</f>
      </c>
      <c r="I24" s="17"/>
    </row>
    <row r="25" ht="15" customHeight="1" spans="1:9" x14ac:dyDescent="0.25">
      <c r="A25" s="14">
        <f>IF(ROW()-21&lt;=N($B$15),ROW()-21,"")</f>
      </c>
      <c r="B25" s="14">
        <f>IF($C25="","",TEXT($C25,"yyyy-mm"))</f>
      </c>
      <c r="C25" s="15">
        <f>IF($A25="","",IF($B$13="ADELANTO DE GRATIFICACIÓN",IF(MONTH($C24)=7,EOMONTH($C24,5),EOMONTH($C24,7)),EOMONTH($C24,1)))</f>
      </c>
      <c r="D25" s="16">
        <f>IF($A25="","",$F24)</f>
      </c>
      <c r="E25" s="16">
        <f>IF($A25="","",IF($A25=N($B$15),ROUND(N($D25),2),ROUND(MIN($B$16,N($D25)),2)))</f>
      </c>
      <c r="F25" s="16">
        <f>IF($A25="","",ROUND(N($D25)-N($E25),2))</f>
      </c>
      <c r="G25" s="17"/>
      <c r="H25" s="14">
        <f>IF($A25="","","PENDIENTE")</f>
      </c>
      <c r="I25" s="17"/>
    </row>
    <row r="26" ht="15" customHeight="1" spans="1:9" x14ac:dyDescent="0.25">
      <c r="A26" s="14">
        <f>IF(ROW()-21&lt;=N($B$15),ROW()-21,"")</f>
      </c>
      <c r="B26" s="14">
        <f>IF($C26="","",TEXT($C26,"yyyy-mm"))</f>
      </c>
      <c r="C26" s="15">
        <f>IF($A26="","",IF($B$13="ADELANTO DE GRATIFICACIÓN",IF(MONTH($C25)=7,EOMONTH($C25,5),EOMONTH($C25,7)),EOMONTH($C25,1)))</f>
      </c>
      <c r="D26" s="16">
        <f>IF($A26="","",$F25)</f>
      </c>
      <c r="E26" s="16">
        <f>IF($A26="","",IF($A26=N($B$15),ROUND(N($D26),2),ROUND(MIN($B$16,N($D26)),2)))</f>
      </c>
      <c r="F26" s="16">
        <f>IF($A26="","",ROUND(N($D26)-N($E26),2))</f>
      </c>
      <c r="G26" s="17"/>
      <c r="H26" s="14">
        <f>IF($A26="","","PENDIENTE")</f>
      </c>
      <c r="I26" s="17"/>
    </row>
    <row r="27" ht="15" customHeight="1" spans="1:9" x14ac:dyDescent="0.25">
      <c r="A27" s="14">
        <f>IF(ROW()-21&lt;=N($B$15),ROW()-21,"")</f>
      </c>
      <c r="B27" s="14">
        <f>IF($C27="","",TEXT($C27,"yyyy-mm"))</f>
      </c>
      <c r="C27" s="15">
        <f>IF($A27="","",IF($B$13="ADELANTO DE GRATIFICACIÓN",IF(MONTH($C26)=7,EOMONTH($C26,5),EOMONTH($C26,7)),EOMONTH($C26,1)))</f>
      </c>
      <c r="D27" s="16">
        <f>IF($A27="","",$F26)</f>
      </c>
      <c r="E27" s="16">
        <f>IF($A27="","",IF($A27=N($B$15),ROUND(N($D27),2),ROUND(MIN($B$16,N($D27)),2)))</f>
      </c>
      <c r="F27" s="16">
        <f>IF($A27="","",ROUND(N($D27)-N($E27),2))</f>
      </c>
      <c r="G27" s="17"/>
      <c r="H27" s="14">
        <f>IF($A27="","","PENDIENTE")</f>
      </c>
      <c r="I27" s="17"/>
    </row>
    <row r="28" ht="15" customHeight="1" spans="1:9" x14ac:dyDescent="0.25">
      <c r="A28" s="14">
        <f>IF(ROW()-21&lt;=N($B$15),ROW()-21,"")</f>
      </c>
      <c r="B28" s="14">
        <f>IF($C28="","",TEXT($C28,"yyyy-mm"))</f>
      </c>
      <c r="C28" s="15">
        <f>IF($A28="","",IF($B$13="ADELANTO DE GRATIFICACIÓN",IF(MONTH($C27)=7,EOMONTH($C27,5),EOMONTH($C27,7)),EOMONTH($C27,1)))</f>
      </c>
      <c r="D28" s="16">
        <f>IF($A28="","",$F27)</f>
      </c>
      <c r="E28" s="16">
        <f>IF($A28="","",IF($A28=N($B$15),ROUND(N($D28),2),ROUND(MIN($B$16,N($D28)),2)))</f>
      </c>
      <c r="F28" s="16">
        <f>IF($A28="","",ROUND(N($D28)-N($E28),2))</f>
      </c>
      <c r="G28" s="17"/>
      <c r="H28" s="14">
        <f>IF($A28="","","PENDIENTE")</f>
      </c>
      <c r="I28" s="17"/>
    </row>
    <row r="29" ht="15" customHeight="1" spans="1:9" x14ac:dyDescent="0.25">
      <c r="A29" s="14">
        <f>IF(ROW()-21&lt;=N($B$15),ROW()-21,"")</f>
      </c>
      <c r="B29" s="14">
        <f>IF($C29="","",TEXT($C29,"yyyy-mm"))</f>
      </c>
      <c r="C29" s="15">
        <f>IF($A29="","",IF($B$13="ADELANTO DE GRATIFICACIÓN",IF(MONTH($C28)=7,EOMONTH($C28,5),EOMONTH($C28,7)),EOMONTH($C28,1)))</f>
      </c>
      <c r="D29" s="16">
        <f>IF($A29="","",$F28)</f>
      </c>
      <c r="E29" s="16">
        <f>IF($A29="","",IF($A29=N($B$15),ROUND(N($D29),2),ROUND(MIN($B$16,N($D29)),2)))</f>
      </c>
      <c r="F29" s="16">
        <f>IF($A29="","",ROUND(N($D29)-N($E29),2))</f>
      </c>
      <c r="G29" s="17"/>
      <c r="H29" s="14">
        <f>IF($A29="","","PENDIENTE")</f>
      </c>
      <c r="I29" s="17"/>
    </row>
    <row r="30" ht="15" customHeight="1" spans="1:9" x14ac:dyDescent="0.25">
      <c r="A30" s="14">
        <f>IF(ROW()-21&lt;=N($B$15),ROW()-21,"")</f>
      </c>
      <c r="B30" s="14">
        <f>IF($C30="","",TEXT($C30,"yyyy-mm"))</f>
      </c>
      <c r="C30" s="15">
        <f>IF($A30="","",IF($B$13="ADELANTO DE GRATIFICACIÓN",IF(MONTH($C29)=7,EOMONTH($C29,5),EOMONTH($C29,7)),EOMONTH($C29,1)))</f>
      </c>
      <c r="D30" s="16">
        <f>IF($A30="","",$F29)</f>
      </c>
      <c r="E30" s="16">
        <f>IF($A30="","",IF($A30=N($B$15),ROUND(N($D30),2),ROUND(MIN($B$16,N($D30)),2)))</f>
      </c>
      <c r="F30" s="16">
        <f>IF($A30="","",ROUND(N($D30)-N($E30),2))</f>
      </c>
      <c r="G30" s="17"/>
      <c r="H30" s="14">
        <f>IF($A30="","","PENDIENTE")</f>
      </c>
      <c r="I30" s="17"/>
    </row>
    <row r="31" ht="15" customHeight="1" spans="1:9" x14ac:dyDescent="0.25">
      <c r="A31" s="14">
        <f>IF(ROW()-21&lt;=N($B$15),ROW()-21,"")</f>
      </c>
      <c r="B31" s="14">
        <f>IF($C31="","",TEXT($C31,"yyyy-mm"))</f>
      </c>
      <c r="C31" s="15">
        <f>IF($A31="","",IF($B$13="ADELANTO DE GRATIFICACIÓN",IF(MONTH($C30)=7,EOMONTH($C30,5),EOMONTH($C30,7)),EOMONTH($C30,1)))</f>
      </c>
      <c r="D31" s="16">
        <f>IF($A31="","",$F30)</f>
      </c>
      <c r="E31" s="16">
        <f>IF($A31="","",IF($A31=N($B$15),ROUND(N($D31),2),ROUND(MIN($B$16,N($D31)),2)))</f>
      </c>
      <c r="F31" s="16">
        <f>IF($A31="","",ROUND(N($D31)-N($E31),2))</f>
      </c>
      <c r="G31" s="17"/>
      <c r="H31" s="14">
        <f>IF($A31="","","PENDIENTE")</f>
      </c>
      <c r="I31" s="17"/>
    </row>
    <row r="32" ht="15" customHeight="1" spans="1:9" x14ac:dyDescent="0.25">
      <c r="A32" s="14">
        <f>IF(ROW()-21&lt;=N($B$15),ROW()-21,"")</f>
      </c>
      <c r="B32" s="14">
        <f>IF($C32="","",TEXT($C32,"yyyy-mm"))</f>
      </c>
      <c r="C32" s="15">
        <f>IF($A32="","",IF($B$13="ADELANTO DE GRATIFICACIÓN",IF(MONTH($C31)=7,EOMONTH($C31,5),EOMONTH($C31,7)),EOMONTH($C31,1)))</f>
      </c>
      <c r="D32" s="16">
        <f>IF($A32="","",$F31)</f>
      </c>
      <c r="E32" s="16">
        <f>IF($A32="","",IF($A32=N($B$15),ROUND(N($D32),2),ROUND(MIN($B$16,N($D32)),2)))</f>
      </c>
      <c r="F32" s="16">
        <f>IF($A32="","",ROUND(N($D32)-N($E32),2))</f>
      </c>
      <c r="G32" s="17"/>
      <c r="H32" s="14">
        <f>IF($A32="","","PENDIENTE")</f>
      </c>
      <c r="I32" s="17"/>
    </row>
    <row r="33" ht="15" customHeight="1" spans="1:9" x14ac:dyDescent="0.25">
      <c r="A33" s="14">
        <f>IF(ROW()-21&lt;=N($B$15),ROW()-21,"")</f>
      </c>
      <c r="B33" s="14">
        <f>IF($C33="","",TEXT($C33,"yyyy-mm"))</f>
      </c>
      <c r="C33" s="15">
        <f>IF($A33="","",IF($B$13="ADELANTO DE GRATIFICACIÓN",IF(MONTH($C32)=7,EOMONTH($C32,5),EOMONTH($C32,7)),EOMONTH($C32,1)))</f>
      </c>
      <c r="D33" s="16">
        <f>IF($A33="","",$F32)</f>
      </c>
      <c r="E33" s="16">
        <f>IF($A33="","",IF($A33=N($B$15),ROUND(N($D33),2),ROUND(MIN($B$16,N($D33)),2)))</f>
      </c>
      <c r="F33" s="16">
        <f>IF($A33="","",ROUND(N($D33)-N($E33),2))</f>
      </c>
      <c r="G33" s="17"/>
      <c r="H33" s="14">
        <f>IF($A33="","","PENDIENTE")</f>
      </c>
      <c r="I33" s="17"/>
    </row>
    <row r="34" ht="15" customHeight="1" spans="1:9" x14ac:dyDescent="0.25">
      <c r="A34" s="14">
        <f>IF(ROW()-21&lt;=N($B$15),ROW()-21,"")</f>
      </c>
      <c r="B34" s="14">
        <f>IF($C34="","",TEXT($C34,"yyyy-mm"))</f>
      </c>
      <c r="C34" s="15">
        <f>IF($A34="","",IF($B$13="ADELANTO DE GRATIFICACIÓN",IF(MONTH($C33)=7,EOMONTH($C33,5),EOMONTH($C33,7)),EOMONTH($C33,1)))</f>
      </c>
      <c r="D34" s="16">
        <f>IF($A34="","",$F33)</f>
      </c>
      <c r="E34" s="16">
        <f>IF($A34="","",IF($A34=N($B$15),ROUND(N($D34),2),ROUND(MIN($B$16,N($D34)),2)))</f>
      </c>
      <c r="F34" s="16">
        <f>IF($A34="","",ROUND(N($D34)-N($E34),2))</f>
      </c>
      <c r="G34" s="17"/>
      <c r="H34" s="14">
        <f>IF($A34="","","PENDIENTE")</f>
      </c>
      <c r="I34" s="17"/>
    </row>
    <row r="35" ht="15" customHeight="1" spans="1:9" x14ac:dyDescent="0.25">
      <c r="A35" s="14">
        <f>IF(ROW()-21&lt;=N($B$15),ROW()-21,"")</f>
      </c>
      <c r="B35" s="14">
        <f>IF($C35="","",TEXT($C35,"yyyy-mm"))</f>
      </c>
      <c r="C35" s="15">
        <f>IF($A35="","",IF($B$13="ADELANTO DE GRATIFICACIÓN",IF(MONTH($C34)=7,EOMONTH($C34,5),EOMONTH($C34,7)),EOMONTH($C34,1)))</f>
      </c>
      <c r="D35" s="16">
        <f>IF($A35="","",$F34)</f>
      </c>
      <c r="E35" s="16">
        <f>IF($A35="","",IF($A35=N($B$15),ROUND(N($D35),2),ROUND(MIN($B$16,N($D35)),2)))</f>
      </c>
      <c r="F35" s="16">
        <f>IF($A35="","",ROUND(N($D35)-N($E35),2))</f>
      </c>
      <c r="G35" s="17"/>
      <c r="H35" s="14">
        <f>IF($A35="","","PENDIENTE")</f>
      </c>
      <c r="I35" s="17"/>
    </row>
    <row r="36" ht="15" customHeight="1" spans="1:9" x14ac:dyDescent="0.25">
      <c r="A36" s="14">
        <f>IF(ROW()-21&lt;=N($B$15),ROW()-21,"")</f>
      </c>
      <c r="B36" s="14">
        <f>IF($C36="","",TEXT($C36,"yyyy-mm"))</f>
      </c>
      <c r="C36" s="15">
        <f>IF($A36="","",IF($B$13="ADELANTO DE GRATIFICACIÓN",IF(MONTH($C35)=7,EOMONTH($C35,5),EOMONTH($C35,7)),EOMONTH($C35,1)))</f>
      </c>
      <c r="D36" s="16">
        <f>IF($A36="","",$F35)</f>
      </c>
      <c r="E36" s="16">
        <f>IF($A36="","",IF($A36=N($B$15),ROUND(N($D36),2),ROUND(MIN($B$16,N($D36)),2)))</f>
      </c>
      <c r="F36" s="16">
        <f>IF($A36="","",ROUND(N($D36)-N($E36),2))</f>
      </c>
      <c r="G36" s="17"/>
      <c r="H36" s="14">
        <f>IF($A36="","","PENDIENTE")</f>
      </c>
      <c r="I36" s="17"/>
    </row>
    <row r="37" ht="15" customHeight="1" spans="1:9" x14ac:dyDescent="0.25">
      <c r="A37" s="14">
        <f>IF(ROW()-21&lt;=N($B$15),ROW()-21,"")</f>
      </c>
      <c r="B37" s="14">
        <f>IF($C37="","",TEXT($C37,"yyyy-mm"))</f>
      </c>
      <c r="C37" s="15">
        <f>IF($A37="","",IF($B$13="ADELANTO DE GRATIFICACIÓN",IF(MONTH($C36)=7,EOMONTH($C36,5),EOMONTH($C36,7)),EOMONTH($C36,1)))</f>
      </c>
      <c r="D37" s="16">
        <f>IF($A37="","",$F36)</f>
      </c>
      <c r="E37" s="16">
        <f>IF($A37="","",IF($A37=N($B$15),ROUND(N($D37),2),ROUND(MIN($B$16,N($D37)),2)))</f>
      </c>
      <c r="F37" s="16">
        <f>IF($A37="","",ROUND(N($D37)-N($E37),2))</f>
      </c>
      <c r="G37" s="17"/>
      <c r="H37" s="14">
        <f>IF($A37="","","PENDIENTE")</f>
      </c>
      <c r="I37" s="17"/>
    </row>
    <row r="38" ht="15" customHeight="1" spans="1:9" x14ac:dyDescent="0.25">
      <c r="A38" s="14">
        <f>IF(ROW()-21&lt;=N($B$15),ROW()-21,"")</f>
      </c>
      <c r="B38" s="14">
        <f>IF($C38="","",TEXT($C38,"yyyy-mm"))</f>
      </c>
      <c r="C38" s="15">
        <f>IF($A38="","",IF($B$13="ADELANTO DE GRATIFICACIÓN",IF(MONTH($C37)=7,EOMONTH($C37,5),EOMONTH($C37,7)),EOMONTH($C37,1)))</f>
      </c>
      <c r="D38" s="16">
        <f>IF($A38="","",$F37)</f>
      </c>
      <c r="E38" s="16">
        <f>IF($A38="","",IF($A38=N($B$15),ROUND(N($D38),2),ROUND(MIN($B$16,N($D38)),2)))</f>
      </c>
      <c r="F38" s="16">
        <f>IF($A38="","",ROUND(N($D38)-N($E38),2))</f>
      </c>
      <c r="G38" s="17"/>
      <c r="H38" s="14">
        <f>IF($A38="","","PENDIENTE")</f>
      </c>
      <c r="I38" s="17"/>
    </row>
    <row r="39" ht="15" customHeight="1" spans="1:9" x14ac:dyDescent="0.25">
      <c r="A39" s="14">
        <f>IF(ROW()-21&lt;=N($B$15),ROW()-21,"")</f>
      </c>
      <c r="B39" s="14">
        <f>IF($C39="","",TEXT($C39,"yyyy-mm"))</f>
      </c>
      <c r="C39" s="15">
        <f>IF($A39="","",IF($B$13="ADELANTO DE GRATIFICACIÓN",IF(MONTH($C38)=7,EOMONTH($C38,5),EOMONTH($C38,7)),EOMONTH($C38,1)))</f>
      </c>
      <c r="D39" s="16">
        <f>IF($A39="","",$F38)</f>
      </c>
      <c r="E39" s="16">
        <f>IF($A39="","",IF($A39=N($B$15),ROUND(N($D39),2),ROUND(MIN($B$16,N($D39)),2)))</f>
      </c>
      <c r="F39" s="16">
        <f>IF($A39="","",ROUND(N($D39)-N($E39),2))</f>
      </c>
      <c r="G39" s="17"/>
      <c r="H39" s="14">
        <f>IF($A39="","","PENDIENTE")</f>
      </c>
      <c r="I39" s="17"/>
    </row>
    <row r="40" ht="15" customHeight="1" spans="1:9" x14ac:dyDescent="0.25">
      <c r="A40" s="14">
        <f>IF(ROW()-21&lt;=N($B$15),ROW()-21,"")</f>
      </c>
      <c r="B40" s="14">
        <f>IF($C40="","",TEXT($C40,"yyyy-mm"))</f>
      </c>
      <c r="C40" s="15">
        <f>IF($A40="","",IF($B$13="ADELANTO DE GRATIFICACIÓN",IF(MONTH($C39)=7,EOMONTH($C39,5),EOMONTH($C39,7)),EOMONTH($C39,1)))</f>
      </c>
      <c r="D40" s="16">
        <f>IF($A40="","",$F39)</f>
      </c>
      <c r="E40" s="16">
        <f>IF($A40="","",IF($A40=N($B$15),ROUND(N($D40),2),ROUND(MIN($B$16,N($D40)),2)))</f>
      </c>
      <c r="F40" s="16">
        <f>IF($A40="","",ROUND(N($D40)-N($E40),2))</f>
      </c>
      <c r="G40" s="17"/>
      <c r="H40" s="14">
        <f>IF($A40="","","PENDIENTE")</f>
      </c>
      <c r="I40" s="17"/>
    </row>
    <row r="41" ht="15" customHeight="1" spans="1:9" x14ac:dyDescent="0.25">
      <c r="A41" s="14">
        <f>IF(ROW()-21&lt;=N($B$15),ROW()-21,"")</f>
      </c>
      <c r="B41" s="14">
        <f>IF($C41="","",TEXT($C41,"yyyy-mm"))</f>
      </c>
      <c r="C41" s="15">
        <f>IF($A41="","",IF($B$13="ADELANTO DE GRATIFICACIÓN",IF(MONTH($C40)=7,EOMONTH($C40,5),EOMONTH($C40,7)),EOMONTH($C40,1)))</f>
      </c>
      <c r="D41" s="16">
        <f>IF($A41="","",$F40)</f>
      </c>
      <c r="E41" s="16">
        <f>IF($A41="","",IF($A41=N($B$15),ROUND(N($D41),2),ROUND(MIN($B$16,N($D41)),2)))</f>
      </c>
      <c r="F41" s="16">
        <f>IF($A41="","",ROUND(N($D41)-N($E41),2))</f>
      </c>
      <c r="G41" s="17"/>
      <c r="H41" s="14">
        <f>IF($A41="","","PENDIENTE")</f>
      </c>
      <c r="I41" s="17"/>
    </row>
    <row r="42" ht="15" customHeight="1" spans="1:9" x14ac:dyDescent="0.25">
      <c r="A42" s="14">
        <f>IF(ROW()-21&lt;=N($B$15),ROW()-21,"")</f>
      </c>
      <c r="B42" s="14">
        <f>IF($C42="","",TEXT($C42,"yyyy-mm"))</f>
      </c>
      <c r="C42" s="15">
        <f>IF($A42="","",IF($B$13="ADELANTO DE GRATIFICACIÓN",IF(MONTH($C41)=7,EOMONTH($C41,5),EOMONTH($C41,7)),EOMONTH($C41,1)))</f>
      </c>
      <c r="D42" s="16">
        <f>IF($A42="","",$F41)</f>
      </c>
      <c r="E42" s="16">
        <f>IF($A42="","",IF($A42=N($B$15),ROUND(N($D42),2),ROUND(MIN($B$16,N($D42)),2)))</f>
      </c>
      <c r="F42" s="16">
        <f>IF($A42="","",ROUND(N($D42)-N($E42),2))</f>
      </c>
      <c r="G42" s="17"/>
      <c r="H42" s="14">
        <f>IF($A42="","","PENDIENTE")</f>
      </c>
      <c r="I42" s="17"/>
    </row>
    <row r="43" ht="15" customHeight="1" spans="1:9" x14ac:dyDescent="0.25">
      <c r="A43" s="14">
        <f>IF(ROW()-21&lt;=N($B$15),ROW()-21,"")</f>
      </c>
      <c r="B43" s="14">
        <f>IF($C43="","",TEXT($C43,"yyyy-mm"))</f>
      </c>
      <c r="C43" s="15">
        <f>IF($A43="","",IF($B$13="ADELANTO DE GRATIFICACIÓN",IF(MONTH($C42)=7,EOMONTH($C42,5),EOMONTH($C42,7)),EOMONTH($C42,1)))</f>
      </c>
      <c r="D43" s="16">
        <f>IF($A43="","",$F42)</f>
      </c>
      <c r="E43" s="16">
        <f>IF($A43="","",IF($A43=N($B$15),ROUND(N($D43),2),ROUND(MIN($B$16,N($D43)),2)))</f>
      </c>
      <c r="F43" s="16">
        <f>IF($A43="","",ROUND(N($D43)-N($E43),2))</f>
      </c>
      <c r="G43" s="17"/>
      <c r="H43" s="14">
        <f>IF($A43="","","PENDIENTE")</f>
      </c>
      <c r="I43" s="17"/>
    </row>
    <row r="44" ht="15" customHeight="1" spans="1:9" x14ac:dyDescent="0.25">
      <c r="A44" s="14">
        <f>IF(ROW()-21&lt;=N($B$15),ROW()-21,"")</f>
      </c>
      <c r="B44" s="14">
        <f>IF($C44="","",TEXT($C44,"yyyy-mm"))</f>
      </c>
      <c r="C44" s="15">
        <f>IF($A44="","",IF($B$13="ADELANTO DE GRATIFICACIÓN",IF(MONTH($C43)=7,EOMONTH($C43,5),EOMONTH($C43,7)),EOMONTH($C43,1)))</f>
      </c>
      <c r="D44" s="16">
        <f>IF($A44="","",$F43)</f>
      </c>
      <c r="E44" s="16">
        <f>IF($A44="","",IF($A44=N($B$15),ROUND(N($D44),2),ROUND(MIN($B$16,N($D44)),2)))</f>
      </c>
      <c r="F44" s="16">
        <f>IF($A44="","",ROUND(N($D44)-N($E44),2))</f>
      </c>
      <c r="G44" s="17"/>
      <c r="H44" s="14">
        <f>IF($A44="","","PENDIENTE")</f>
      </c>
      <c r="I44" s="17"/>
    </row>
    <row r="45" ht="15" customHeight="1" spans="1:9" x14ac:dyDescent="0.25">
      <c r="A45" s="14">
        <f>IF(ROW()-21&lt;=N($B$15),ROW()-21,"")</f>
      </c>
      <c r="B45" s="14">
        <f>IF($C45="","",TEXT($C45,"yyyy-mm"))</f>
      </c>
      <c r="C45" s="15">
        <f>IF($A45="","",IF($B$13="ADELANTO DE GRATIFICACIÓN",IF(MONTH($C44)=7,EOMONTH($C44,5),EOMONTH($C44,7)),EOMONTH($C44,1)))</f>
      </c>
      <c r="D45" s="16">
        <f>IF($A45="","",$F44)</f>
      </c>
      <c r="E45" s="16">
        <f>IF($A45="","",IF($A45=N($B$15),ROUND(N($D45),2),ROUND(MIN($B$16,N($D45)),2)))</f>
      </c>
      <c r="F45" s="16">
        <f>IF($A45="","",ROUND(N($D45)-N($E45),2))</f>
      </c>
      <c r="G45" s="17"/>
      <c r="H45" s="14">
        <f>IF($A45="","","PENDIENTE")</f>
      </c>
      <c r="I45" s="17"/>
    </row>
    <row r="46" ht="20" customHeight="1" spans="1:9" x14ac:dyDescent="0.25">
      <c r="A46" s="18" t="s">
        <v>38</v>
      </c>
      <c r="B46" s="18"/>
      <c r="C46" s="18"/>
      <c r="D46" s="18"/>
      <c r="E46" s="19">
        <f>ROUND(SUM(E22:E45),2)</f>
      </c>
      <c r="F46" s="19">
        <f>IFERROR(LOOKUP(2,1/($F$22:$F$45&lt;&gt;""),$F$22:$F$45),0)</f>
      </c>
      <c r="G46" s="20">
        <f>IF(ROUND(E46-N(B14),2)=0,"Cuadra con el monto otorgado","REVISAR: el total no cuadra")</f>
      </c>
      <c r="H46" s="20"/>
      <c r="I46" s="20"/>
    </row>
    <row r="48" ht="20" customHeight="1" spans="1:9" x14ac:dyDescent="0.25">
      <c r="A48" s="3" t="s">
        <v>39</v>
      </c>
      <c r="B48" s="3"/>
      <c r="C48" s="3"/>
      <c r="D48" s="3"/>
      <c r="E48" s="3"/>
      <c r="F48" s="3"/>
      <c r="G48" s="3"/>
      <c r="H48" s="3"/>
      <c r="I48" s="3"/>
    </row>
    <row r="49" ht="62" customHeight="1" spans="1:9" x14ac:dyDescent="0.25">
      <c r="A49" s="21" t="s">
        <v>40</v>
      </c>
      <c r="B49" s="21"/>
      <c r="C49" s="21"/>
      <c r="D49" s="21"/>
      <c r="E49" s="21"/>
      <c r="F49" s="21"/>
      <c r="G49" s="21"/>
      <c r="H49" s="21"/>
      <c r="I49" s="21"/>
    </row>
    <row r="51" spans="1:9" x14ac:dyDescent="0.25">
      <c r="A51" s="22" t="s">
        <v>41</v>
      </c>
      <c r="B51" s="22"/>
      <c r="C51" s="22"/>
      <c r="D51" s="22" t="s">
        <v>42</v>
      </c>
      <c r="E51" s="22"/>
      <c r="F51" s="22"/>
      <c r="G51" s="22" t="s">
        <v>43</v>
      </c>
      <c r="H51" s="22"/>
      <c r="I51" s="22"/>
    </row>
    <row r="52" ht="78" customHeight="1" spans="1:9" x14ac:dyDescent="0.25">
      <c r="A52" s="23" t="s">
        <v>44</v>
      </c>
      <c r="B52" s="23"/>
      <c r="C52" s="23"/>
      <c r="D52" s="23" t="s">
        <v>45</v>
      </c>
      <c r="E52" s="23"/>
      <c r="F52" s="23"/>
      <c r="G52" s="23" t="s">
        <v>46</v>
      </c>
      <c r="H52" s="23"/>
      <c r="I52" s="23"/>
    </row>
    <row r="54" spans="1:6" x14ac:dyDescent="0.25">
      <c r="A54" s="24" t="s">
        <v>47</v>
      </c>
      <c r="B54" s="25" t="s">
        <v>48</v>
      </c>
      <c r="D54" s="26" t="s">
        <v>49</v>
      </c>
      <c r="E54" s="26"/>
      <c r="F54" s="26"/>
    </row>
    <row r="55" spans="1:1" x14ac:dyDescent="0.25">
      <c r="A55" s="27" t="s">
        <v>50</v>
      </c>
    </row>
  </sheetData>
  <mergeCells count="40">
    <mergeCell ref="A1:I1"/>
    <mergeCell ref="A2:I2"/>
    <mergeCell ref="A4:I4"/>
    <mergeCell ref="B5:D5"/>
    <mergeCell ref="G5:I5"/>
    <mergeCell ref="B6:D6"/>
    <mergeCell ref="G6:I6"/>
    <mergeCell ref="B7:D7"/>
    <mergeCell ref="G7:I7"/>
    <mergeCell ref="B8:D8"/>
    <mergeCell ref="G8:I8"/>
    <mergeCell ref="B9:D9"/>
    <mergeCell ref="G9:I9"/>
    <mergeCell ref="B10:D10"/>
    <mergeCell ref="G10:I10"/>
    <mergeCell ref="A12:I12"/>
    <mergeCell ref="B13:D13"/>
    <mergeCell ref="G13:I13"/>
    <mergeCell ref="B14:D14"/>
    <mergeCell ref="G14:I14"/>
    <mergeCell ref="B15:D15"/>
    <mergeCell ref="G15:I15"/>
    <mergeCell ref="B16:D16"/>
    <mergeCell ref="G16:I16"/>
    <mergeCell ref="B17:D17"/>
    <mergeCell ref="G17:I17"/>
    <mergeCell ref="B18:D18"/>
    <mergeCell ref="G18:I18"/>
    <mergeCell ref="A20:I20"/>
    <mergeCell ref="A46:D46"/>
    <mergeCell ref="G46:I46"/>
    <mergeCell ref="A48:I48"/>
    <mergeCell ref="A49:I49"/>
    <mergeCell ref="A51:C51"/>
    <mergeCell ref="D51:F51"/>
    <mergeCell ref="G51:I51"/>
    <mergeCell ref="A52:C52"/>
    <mergeCell ref="D52:F52"/>
    <mergeCell ref="G52:I52"/>
    <mergeCell ref="D54:F54"/>
  </mergeCells>
  <dataValidations count="4">
    <dataValidation type="list" allowBlank="1" showErrorMessage="1" error="Selecciona un valor de la lista." sqref="B13">
      <formula1>"PRÉSTAMO,ADELANTO DE SUELDO,ADELANTO DE GRATIFICACIÓN"</formula1>
    </dataValidation>
    <dataValidation type="list" allowBlank="1" showErrorMessage="1" error="Selecciona un valor de la lista." sqref="G14">
      <formula1>"Transferencia bancaria,Depósito en cuenta,Cheque,Efectivo"</formula1>
    </dataValidation>
    <dataValidation type="list" allowBlank="1" showErrorMessage="1" error="Selecciona un valor de la lista." sqref="G9">
      <formula1>"General (D.L. 728),Pequeña empresa (REMYPE),Microempresa (REMYPE),Agrario (Ley 31110),Construcción civil,Trabajadoras del hogar (Ley 31047)"</formula1>
    </dataValidation>
    <dataValidation type="list" allowBlank="1" showErrorMessage="1" sqref="H22:H45">
      <formula1>"PENDIENTE,DESCONTADA,DIFERIDA,CONDONADA,CANCELADA"</formula1>
    </dataValidation>
  </dataValidations>
  <pageMargins left="0.4" right="0.4" top="0.5" bottom="0.5" header="0.2" footer="0.2"/>
  <pageSetup paperSize="9"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5"/>
  <sheetViews>
    <sheetView workbookViewId="0" showGridLines="0">
      <pane ySplit="21" topLeftCell="A22" activePane="bottomLeft" state="frozen"/>
      <selection pane="bottomLeft"/>
    </sheetView>
  </sheetViews>
  <sheetFormatPr defaultRowHeight="15" outlineLevelRow="0" outlineLevelCol="0" x14ac:dyDescent="55"/>
  <cols>
    <col min="1" max="1" width="6" customWidth="1"/>
    <col min="2" max="2" width="22" customWidth="1"/>
    <col min="3" max="3" width="14" customWidth="1"/>
    <col min="4" max="4" width="12" customWidth="1"/>
    <col min="5" max="7" width="13" customWidth="1"/>
    <col min="8" max="8" width="14" customWidth="1"/>
    <col min="9" max="9" width="26" customWidth="1"/>
  </cols>
  <sheetData>
    <row r="1" ht="28" customHeight="1" spans="1:9" x14ac:dyDescent="0.25">
      <c r="A1" s="1" t="s">
        <v>0</v>
      </c>
      <c r="B1" s="1"/>
      <c r="C1" s="1"/>
      <c r="D1" s="1"/>
      <c r="E1" s="1"/>
      <c r="F1" s="1"/>
      <c r="G1" s="1"/>
      <c r="H1" s="1"/>
      <c r="I1" s="1"/>
    </row>
    <row r="2" spans="1:9" x14ac:dyDescent="0.25">
      <c r="A2" s="2" t="s">
        <v>1</v>
      </c>
      <c r="B2" s="2"/>
      <c r="C2" s="2"/>
      <c r="D2" s="2"/>
      <c r="E2" s="2"/>
      <c r="F2" s="2"/>
      <c r="G2" s="2"/>
      <c r="H2" s="2"/>
      <c r="I2" s="2"/>
    </row>
    <row r="3" ht="6" customHeight="1" x14ac:dyDescent="0.25"/>
    <row r="4" ht="20" customHeight="1" spans="1:9" x14ac:dyDescent="0.25">
      <c r="A4" s="3" t="s">
        <v>2</v>
      </c>
      <c r="B4" s="3"/>
      <c r="C4" s="3"/>
      <c r="D4" s="3"/>
      <c r="E4" s="3"/>
      <c r="F4" s="3"/>
      <c r="G4" s="3"/>
      <c r="H4" s="3"/>
      <c r="I4" s="3"/>
    </row>
    <row r="5" spans="1:9" x14ac:dyDescent="0.25">
      <c r="A5" s="4" t="s">
        <v>3</v>
      </c>
      <c r="B5" s="5" t="s">
        <v>51</v>
      </c>
      <c r="C5" s="5"/>
      <c r="D5" s="5"/>
      <c r="F5" s="4" t="s">
        <v>4</v>
      </c>
      <c r="G5" s="5" t="s">
        <v>52</v>
      </c>
      <c r="H5" s="5"/>
      <c r="I5" s="5"/>
    </row>
    <row r="6" spans="1:9" x14ac:dyDescent="0.25">
      <c r="A6" s="4" t="s">
        <v>5</v>
      </c>
      <c r="B6" s="5" t="s">
        <v>53</v>
      </c>
      <c r="C6" s="5"/>
      <c r="D6" s="5"/>
      <c r="F6" s="4" t="s">
        <v>6</v>
      </c>
      <c r="G6" s="5" t="s">
        <v>54</v>
      </c>
      <c r="H6" s="5"/>
      <c r="I6" s="5"/>
    </row>
    <row r="7" spans="1:9" x14ac:dyDescent="0.25">
      <c r="A7" s="4" t="s">
        <v>7</v>
      </c>
      <c r="B7" s="5" t="s">
        <v>55</v>
      </c>
      <c r="C7" s="5"/>
      <c r="D7" s="5"/>
      <c r="F7" s="4" t="s">
        <v>8</v>
      </c>
      <c r="G7" s="5" t="s">
        <v>56</v>
      </c>
      <c r="H7" s="5"/>
      <c r="I7" s="5"/>
    </row>
    <row r="8" spans="1:9" x14ac:dyDescent="0.25">
      <c r="A8" s="4" t="s">
        <v>9</v>
      </c>
      <c r="B8" s="5" t="s">
        <v>57</v>
      </c>
      <c r="C8" s="5"/>
      <c r="D8" s="5"/>
      <c r="F8" s="4" t="s">
        <v>10</v>
      </c>
      <c r="G8" s="6">
        <v>44986.20833333333</v>
      </c>
      <c r="H8" s="6"/>
      <c r="I8" s="6"/>
    </row>
    <row r="9" spans="1:9" x14ac:dyDescent="0.25">
      <c r="A9" s="4" t="s">
        <v>11</v>
      </c>
      <c r="B9" s="5" t="s">
        <v>58</v>
      </c>
      <c r="C9" s="5"/>
      <c r="D9" s="5"/>
      <c r="F9" s="4" t="s">
        <v>12</v>
      </c>
      <c r="G9" s="5" t="s">
        <v>59</v>
      </c>
      <c r="H9" s="5"/>
      <c r="I9" s="5"/>
    </row>
    <row r="10" spans="1:9" x14ac:dyDescent="0.25">
      <c r="A10" s="4" t="s">
        <v>13</v>
      </c>
      <c r="B10" s="7">
        <v>2500</v>
      </c>
      <c r="C10" s="7"/>
      <c r="D10" s="7"/>
      <c r="F10" s="4" t="s">
        <v>14</v>
      </c>
      <c r="G10" s="7">
        <v>2180</v>
      </c>
      <c r="H10" s="7"/>
      <c r="I10" s="7"/>
    </row>
    <row r="11" ht="6" customHeight="1" x14ac:dyDescent="0.25"/>
    <row r="12" ht="20" customHeight="1" spans="1:9" x14ac:dyDescent="0.25">
      <c r="A12" s="3" t="s">
        <v>15</v>
      </c>
      <c r="B12" s="3"/>
      <c r="C12" s="3"/>
      <c r="D12" s="3"/>
      <c r="E12" s="3"/>
      <c r="F12" s="3"/>
      <c r="G12" s="3"/>
      <c r="H12" s="3"/>
      <c r="I12" s="3"/>
    </row>
    <row r="13" spans="1:9" x14ac:dyDescent="0.25">
      <c r="A13" s="4" t="s">
        <v>16</v>
      </c>
      <c r="B13" s="5" t="s">
        <v>60</v>
      </c>
      <c r="C13" s="5"/>
      <c r="D13" s="5"/>
      <c r="F13" s="4" t="s">
        <v>17</v>
      </c>
      <c r="G13" s="6">
        <v>46254.20833333333</v>
      </c>
      <c r="H13" s="6"/>
      <c r="I13" s="6"/>
    </row>
    <row r="14" spans="1:9" x14ac:dyDescent="0.25">
      <c r="A14" s="4" t="s">
        <v>18</v>
      </c>
      <c r="B14" s="7">
        <v>3000</v>
      </c>
      <c r="C14" s="7"/>
      <c r="D14" s="7"/>
      <c r="F14" s="4" t="s">
        <v>19</v>
      </c>
      <c r="G14" s="5" t="s">
        <v>61</v>
      </c>
      <c r="H14" s="5"/>
      <c r="I14" s="5"/>
    </row>
    <row r="15" spans="1:9" x14ac:dyDescent="0.25">
      <c r="A15" s="4" t="s">
        <v>20</v>
      </c>
      <c r="B15" s="8">
        <v>6</v>
      </c>
      <c r="C15" s="8"/>
      <c r="D15" s="8"/>
      <c r="F15" s="4" t="s">
        <v>21</v>
      </c>
      <c r="G15" s="5" t="s">
        <v>62</v>
      </c>
      <c r="H15" s="5"/>
      <c r="I15" s="5"/>
    </row>
    <row r="16" spans="1:9" x14ac:dyDescent="0.25">
      <c r="A16" s="4" t="s">
        <v>22</v>
      </c>
      <c r="B16" s="9">
        <f>IF(N(B15)&gt;0,ROUND(B14/B15,2),0)</f>
      </c>
      <c r="C16" s="9"/>
      <c r="D16" s="9"/>
      <c r="F16" s="4" t="s">
        <v>23</v>
      </c>
      <c r="G16" s="5" t="s">
        <v>63</v>
      </c>
      <c r="H16" s="5"/>
      <c r="I16" s="5"/>
    </row>
    <row r="17" spans="1:9" x14ac:dyDescent="0.25">
      <c r="A17" s="4" t="s">
        <v>24</v>
      </c>
      <c r="B17" s="10">
        <v>46266.20833333333</v>
      </c>
      <c r="C17" s="10"/>
      <c r="D17" s="10"/>
      <c r="F17" s="4" t="s">
        <v>25</v>
      </c>
      <c r="G17" s="11">
        <f>IFERROR(LOOKUP(2,1/($E$22:$E$45&gt;0),$C$22:$C$45),"")</f>
      </c>
      <c r="H17" s="11"/>
      <c r="I17" s="11"/>
    </row>
    <row r="18" spans="1:9" x14ac:dyDescent="0.25">
      <c r="A18" s="4" t="s">
        <v>26</v>
      </c>
      <c r="B18" s="12">
        <f>IF(N(B10)&gt;0,B16/B10,"")</f>
      </c>
      <c r="C18" s="12"/>
      <c r="D18" s="12"/>
      <c r="F18" s="4" t="s">
        <v>27</v>
      </c>
      <c r="G18" s="5" t="s">
        <v>64</v>
      </c>
      <c r="H18" s="5"/>
      <c r="I18" s="5"/>
    </row>
    <row r="19" ht="6" customHeight="1" x14ac:dyDescent="0.25"/>
    <row r="20" ht="20" customHeight="1" spans="1:9" x14ac:dyDescent="0.25">
      <c r="A20" s="3" t="s">
        <v>28</v>
      </c>
      <c r="B20" s="3"/>
      <c r="C20" s="3"/>
      <c r="D20" s="3"/>
      <c r="E20" s="3"/>
      <c r="F20" s="3"/>
      <c r="G20" s="3"/>
      <c r="H20" s="3"/>
      <c r="I20" s="3"/>
    </row>
    <row r="21" ht="26" customHeight="1" spans="1:9" x14ac:dyDescent="0.25">
      <c r="A21" s="13" t="s">
        <v>29</v>
      </c>
      <c r="B21" s="13" t="s">
        <v>30</v>
      </c>
      <c r="C21" s="13" t="s">
        <v>31</v>
      </c>
      <c r="D21" s="13" t="s">
        <v>32</v>
      </c>
      <c r="E21" s="13" t="s">
        <v>33</v>
      </c>
      <c r="F21" s="13" t="s">
        <v>34</v>
      </c>
      <c r="G21" s="13" t="s">
        <v>35</v>
      </c>
      <c r="H21" s="13" t="s">
        <v>36</v>
      </c>
      <c r="I21" s="13" t="s">
        <v>37</v>
      </c>
    </row>
    <row r="22" ht="15" customHeight="1" spans="1:9" x14ac:dyDescent="0.25">
      <c r="A22" s="14">
        <f>IF(ROW()-21&lt;=N($B$15),ROW()-21,"")</f>
      </c>
      <c r="B22" s="14">
        <f>IF($C22="","",TEXT($C22,"yyyy-mm"))</f>
      </c>
      <c r="C22" s="15">
        <f>IF($A22="","",EOMONTH($B$17,0))</f>
      </c>
      <c r="D22" s="16">
        <f>IF($A22="","",$B$14)</f>
      </c>
      <c r="E22" s="16">
        <f>IF($A22="","",IF($A22=N($B$15),ROUND(N($D22),2),ROUND(MIN($B$16,N($D22)),2)))</f>
      </c>
      <c r="F22" s="16">
        <f>IF($A22="","",ROUND(N($D22)-N($E22),2))</f>
      </c>
      <c r="G22" s="17"/>
      <c r="H22" s="14">
        <f>IF($A22="","","PENDIENTE")</f>
      </c>
      <c r="I22" s="17"/>
    </row>
    <row r="23" ht="15" customHeight="1" spans="1:9" x14ac:dyDescent="0.25">
      <c r="A23" s="14">
        <f>IF(ROW()-21&lt;=N($B$15),ROW()-21,"")</f>
      </c>
      <c r="B23" s="14">
        <f>IF($C23="","",TEXT($C23,"yyyy-mm"))</f>
      </c>
      <c r="C23" s="15">
        <f>IF($A23="","",IF($B$13="ADELANTO DE GRATIFICACIÓN",IF(MONTH($C22)=7,EOMONTH($C22,5),EOMONTH($C22,7)),EOMONTH($C22,1)))</f>
      </c>
      <c r="D23" s="16">
        <f>IF($A23="","",$F22)</f>
      </c>
      <c r="E23" s="16">
        <f>IF($A23="","",IF($A23=N($B$15),ROUND(N($D23),2),ROUND(MIN($B$16,N($D23)),2)))</f>
      </c>
      <c r="F23" s="16">
        <f>IF($A23="","",ROUND(N($D23)-N($E23),2))</f>
      </c>
      <c r="G23" s="17"/>
      <c r="H23" s="14">
        <f>IF($A23="","","PENDIENTE")</f>
      </c>
      <c r="I23" s="17"/>
    </row>
    <row r="24" ht="15" customHeight="1" spans="1:9" x14ac:dyDescent="0.25">
      <c r="A24" s="14">
        <f>IF(ROW()-21&lt;=N($B$15),ROW()-21,"")</f>
      </c>
      <c r="B24" s="14">
        <f>IF($C24="","",TEXT($C24,"yyyy-mm"))</f>
      </c>
      <c r="C24" s="15">
        <f>IF($A24="","",IF($B$13="ADELANTO DE GRATIFICACIÓN",IF(MONTH($C23)=7,EOMONTH($C23,5),EOMONTH($C23,7)),EOMONTH($C23,1)))</f>
      </c>
      <c r="D24" s="16">
        <f>IF($A24="","",$F23)</f>
      </c>
      <c r="E24" s="16">
        <f>IF($A24="","",IF($A24=N($B$15),ROUND(N($D24),2),ROUND(MIN($B$16,N($D24)),2)))</f>
      </c>
      <c r="F24" s="16">
        <f>IF($A24="","",ROUND(N($D24)-N($E24),2))</f>
      </c>
      <c r="G24" s="17"/>
      <c r="H24" s="14">
        <f>IF($A24="","","PENDIENTE")</f>
      </c>
      <c r="I24" s="17"/>
    </row>
    <row r="25" ht="15" customHeight="1" spans="1:9" x14ac:dyDescent="0.25">
      <c r="A25" s="14">
        <f>IF(ROW()-21&lt;=N($B$15),ROW()-21,"")</f>
      </c>
      <c r="B25" s="14">
        <f>IF($C25="","",TEXT($C25,"yyyy-mm"))</f>
      </c>
      <c r="C25" s="15">
        <f>IF($A25="","",IF($B$13="ADELANTO DE GRATIFICACIÓN",IF(MONTH($C24)=7,EOMONTH($C24,5),EOMONTH($C24,7)),EOMONTH($C24,1)))</f>
      </c>
      <c r="D25" s="16">
        <f>IF($A25="","",$F24)</f>
      </c>
      <c r="E25" s="16">
        <f>IF($A25="","",IF($A25=N($B$15),ROUND(N($D25),2),ROUND(MIN($B$16,N($D25)),2)))</f>
      </c>
      <c r="F25" s="16">
        <f>IF($A25="","",ROUND(N($D25)-N($E25),2))</f>
      </c>
      <c r="G25" s="17"/>
      <c r="H25" s="14">
        <f>IF($A25="","","PENDIENTE")</f>
      </c>
      <c r="I25" s="17"/>
    </row>
    <row r="26" ht="15" customHeight="1" spans="1:9" x14ac:dyDescent="0.25">
      <c r="A26" s="14">
        <f>IF(ROW()-21&lt;=N($B$15),ROW()-21,"")</f>
      </c>
      <c r="B26" s="14">
        <f>IF($C26="","",TEXT($C26,"yyyy-mm"))</f>
      </c>
      <c r="C26" s="15">
        <f>IF($A26="","",IF($B$13="ADELANTO DE GRATIFICACIÓN",IF(MONTH($C25)=7,EOMONTH($C25,5),EOMONTH($C25,7)),EOMONTH($C25,1)))</f>
      </c>
      <c r="D26" s="16">
        <f>IF($A26="","",$F25)</f>
      </c>
      <c r="E26" s="16">
        <f>IF($A26="","",IF($A26=N($B$15),ROUND(N($D26),2),ROUND(MIN($B$16,N($D26)),2)))</f>
      </c>
      <c r="F26" s="16">
        <f>IF($A26="","",ROUND(N($D26)-N($E26),2))</f>
      </c>
      <c r="G26" s="17"/>
      <c r="H26" s="14">
        <f>IF($A26="","","PENDIENTE")</f>
      </c>
      <c r="I26" s="17"/>
    </row>
    <row r="27" ht="15" customHeight="1" spans="1:9" x14ac:dyDescent="0.25">
      <c r="A27" s="14">
        <f>IF(ROW()-21&lt;=N($B$15),ROW()-21,"")</f>
      </c>
      <c r="B27" s="14">
        <f>IF($C27="","",TEXT($C27,"yyyy-mm"))</f>
      </c>
      <c r="C27" s="15">
        <f>IF($A27="","",IF($B$13="ADELANTO DE GRATIFICACIÓN",IF(MONTH($C26)=7,EOMONTH($C26,5),EOMONTH($C26,7)),EOMONTH($C26,1)))</f>
      </c>
      <c r="D27" s="16">
        <f>IF($A27="","",$F26)</f>
      </c>
      <c r="E27" s="16">
        <f>IF($A27="","",IF($A27=N($B$15),ROUND(N($D27),2),ROUND(MIN($B$16,N($D27)),2)))</f>
      </c>
      <c r="F27" s="16">
        <f>IF($A27="","",ROUND(N($D27)-N($E27),2))</f>
      </c>
      <c r="G27" s="17"/>
      <c r="H27" s="14">
        <f>IF($A27="","","PENDIENTE")</f>
      </c>
      <c r="I27" s="17"/>
    </row>
    <row r="28" ht="15" customHeight="1" spans="1:9" x14ac:dyDescent="0.25">
      <c r="A28" s="14">
        <f>IF(ROW()-21&lt;=N($B$15),ROW()-21,"")</f>
      </c>
      <c r="B28" s="14">
        <f>IF($C28="","",TEXT($C28,"yyyy-mm"))</f>
      </c>
      <c r="C28" s="15">
        <f>IF($A28="","",IF($B$13="ADELANTO DE GRATIFICACIÓN",IF(MONTH($C27)=7,EOMONTH($C27,5),EOMONTH($C27,7)),EOMONTH($C27,1)))</f>
      </c>
      <c r="D28" s="16">
        <f>IF($A28="","",$F27)</f>
      </c>
      <c r="E28" s="16">
        <f>IF($A28="","",IF($A28=N($B$15),ROUND(N($D28),2),ROUND(MIN($B$16,N($D28)),2)))</f>
      </c>
      <c r="F28" s="16">
        <f>IF($A28="","",ROUND(N($D28)-N($E28),2))</f>
      </c>
      <c r="G28" s="17"/>
      <c r="H28" s="14">
        <f>IF($A28="","","PENDIENTE")</f>
      </c>
      <c r="I28" s="17"/>
    </row>
    <row r="29" ht="15" customHeight="1" spans="1:9" x14ac:dyDescent="0.25">
      <c r="A29" s="14">
        <f>IF(ROW()-21&lt;=N($B$15),ROW()-21,"")</f>
      </c>
      <c r="B29" s="14">
        <f>IF($C29="","",TEXT($C29,"yyyy-mm"))</f>
      </c>
      <c r="C29" s="15">
        <f>IF($A29="","",IF($B$13="ADELANTO DE GRATIFICACIÓN",IF(MONTH($C28)=7,EOMONTH($C28,5),EOMONTH($C28,7)),EOMONTH($C28,1)))</f>
      </c>
      <c r="D29" s="16">
        <f>IF($A29="","",$F28)</f>
      </c>
      <c r="E29" s="16">
        <f>IF($A29="","",IF($A29=N($B$15),ROUND(N($D29),2),ROUND(MIN($B$16,N($D29)),2)))</f>
      </c>
      <c r="F29" s="16">
        <f>IF($A29="","",ROUND(N($D29)-N($E29),2))</f>
      </c>
      <c r="G29" s="17"/>
      <c r="H29" s="14">
        <f>IF($A29="","","PENDIENTE")</f>
      </c>
      <c r="I29" s="17"/>
    </row>
    <row r="30" ht="15" customHeight="1" spans="1:9" x14ac:dyDescent="0.25">
      <c r="A30" s="14">
        <f>IF(ROW()-21&lt;=N($B$15),ROW()-21,"")</f>
      </c>
      <c r="B30" s="14">
        <f>IF($C30="","",TEXT($C30,"yyyy-mm"))</f>
      </c>
      <c r="C30" s="15">
        <f>IF($A30="","",IF($B$13="ADELANTO DE GRATIFICACIÓN",IF(MONTH($C29)=7,EOMONTH($C29,5),EOMONTH($C29,7)),EOMONTH($C29,1)))</f>
      </c>
      <c r="D30" s="16">
        <f>IF($A30="","",$F29)</f>
      </c>
      <c r="E30" s="16">
        <f>IF($A30="","",IF($A30=N($B$15),ROUND(N($D30),2),ROUND(MIN($B$16,N($D30)),2)))</f>
      </c>
      <c r="F30" s="16">
        <f>IF($A30="","",ROUND(N($D30)-N($E30),2))</f>
      </c>
      <c r="G30" s="17"/>
      <c r="H30" s="14">
        <f>IF($A30="","","PENDIENTE")</f>
      </c>
      <c r="I30" s="17"/>
    </row>
    <row r="31" ht="15" customHeight="1" spans="1:9" x14ac:dyDescent="0.25">
      <c r="A31" s="14">
        <f>IF(ROW()-21&lt;=N($B$15),ROW()-21,"")</f>
      </c>
      <c r="B31" s="14">
        <f>IF($C31="","",TEXT($C31,"yyyy-mm"))</f>
      </c>
      <c r="C31" s="15">
        <f>IF($A31="","",IF($B$13="ADELANTO DE GRATIFICACIÓN",IF(MONTH($C30)=7,EOMONTH($C30,5),EOMONTH($C30,7)),EOMONTH($C30,1)))</f>
      </c>
      <c r="D31" s="16">
        <f>IF($A31="","",$F30)</f>
      </c>
      <c r="E31" s="16">
        <f>IF($A31="","",IF($A31=N($B$15),ROUND(N($D31),2),ROUND(MIN($B$16,N($D31)),2)))</f>
      </c>
      <c r="F31" s="16">
        <f>IF($A31="","",ROUND(N($D31)-N($E31),2))</f>
      </c>
      <c r="G31" s="17"/>
      <c r="H31" s="14">
        <f>IF($A31="","","PENDIENTE")</f>
      </c>
      <c r="I31" s="17"/>
    </row>
    <row r="32" ht="15" customHeight="1" spans="1:9" x14ac:dyDescent="0.25">
      <c r="A32" s="14">
        <f>IF(ROW()-21&lt;=N($B$15),ROW()-21,"")</f>
      </c>
      <c r="B32" s="14">
        <f>IF($C32="","",TEXT($C32,"yyyy-mm"))</f>
      </c>
      <c r="C32" s="15">
        <f>IF($A32="","",IF($B$13="ADELANTO DE GRATIFICACIÓN",IF(MONTH($C31)=7,EOMONTH($C31,5),EOMONTH($C31,7)),EOMONTH($C31,1)))</f>
      </c>
      <c r="D32" s="16">
        <f>IF($A32="","",$F31)</f>
      </c>
      <c r="E32" s="16">
        <f>IF($A32="","",IF($A32=N($B$15),ROUND(N($D32),2),ROUND(MIN($B$16,N($D32)),2)))</f>
      </c>
      <c r="F32" s="16">
        <f>IF($A32="","",ROUND(N($D32)-N($E32),2))</f>
      </c>
      <c r="G32" s="17"/>
      <c r="H32" s="14">
        <f>IF($A32="","","PENDIENTE")</f>
      </c>
      <c r="I32" s="17"/>
    </row>
    <row r="33" ht="15" customHeight="1" spans="1:9" x14ac:dyDescent="0.25">
      <c r="A33" s="14">
        <f>IF(ROW()-21&lt;=N($B$15),ROW()-21,"")</f>
      </c>
      <c r="B33" s="14">
        <f>IF($C33="","",TEXT($C33,"yyyy-mm"))</f>
      </c>
      <c r="C33" s="15">
        <f>IF($A33="","",IF($B$13="ADELANTO DE GRATIFICACIÓN",IF(MONTH($C32)=7,EOMONTH($C32,5),EOMONTH($C32,7)),EOMONTH($C32,1)))</f>
      </c>
      <c r="D33" s="16">
        <f>IF($A33="","",$F32)</f>
      </c>
      <c r="E33" s="16">
        <f>IF($A33="","",IF($A33=N($B$15),ROUND(N($D33),2),ROUND(MIN($B$16,N($D33)),2)))</f>
      </c>
      <c r="F33" s="16">
        <f>IF($A33="","",ROUND(N($D33)-N($E33),2))</f>
      </c>
      <c r="G33" s="17"/>
      <c r="H33" s="14">
        <f>IF($A33="","","PENDIENTE")</f>
      </c>
      <c r="I33" s="17"/>
    </row>
    <row r="34" ht="15" customHeight="1" spans="1:9" x14ac:dyDescent="0.25">
      <c r="A34" s="14">
        <f>IF(ROW()-21&lt;=N($B$15),ROW()-21,"")</f>
      </c>
      <c r="B34" s="14">
        <f>IF($C34="","",TEXT($C34,"yyyy-mm"))</f>
      </c>
      <c r="C34" s="15">
        <f>IF($A34="","",IF($B$13="ADELANTO DE GRATIFICACIÓN",IF(MONTH($C33)=7,EOMONTH($C33,5),EOMONTH($C33,7)),EOMONTH($C33,1)))</f>
      </c>
      <c r="D34" s="16">
        <f>IF($A34="","",$F33)</f>
      </c>
      <c r="E34" s="16">
        <f>IF($A34="","",IF($A34=N($B$15),ROUND(N($D34),2),ROUND(MIN($B$16,N($D34)),2)))</f>
      </c>
      <c r="F34" s="16">
        <f>IF($A34="","",ROUND(N($D34)-N($E34),2))</f>
      </c>
      <c r="G34" s="17"/>
      <c r="H34" s="14">
        <f>IF($A34="","","PENDIENTE")</f>
      </c>
      <c r="I34" s="17"/>
    </row>
    <row r="35" ht="15" customHeight="1" spans="1:9" x14ac:dyDescent="0.25">
      <c r="A35" s="14">
        <f>IF(ROW()-21&lt;=N($B$15),ROW()-21,"")</f>
      </c>
      <c r="B35" s="14">
        <f>IF($C35="","",TEXT($C35,"yyyy-mm"))</f>
      </c>
      <c r="C35" s="15">
        <f>IF($A35="","",IF($B$13="ADELANTO DE GRATIFICACIÓN",IF(MONTH($C34)=7,EOMONTH($C34,5),EOMONTH($C34,7)),EOMONTH($C34,1)))</f>
      </c>
      <c r="D35" s="16">
        <f>IF($A35="","",$F34)</f>
      </c>
      <c r="E35" s="16">
        <f>IF($A35="","",IF($A35=N($B$15),ROUND(N($D35),2),ROUND(MIN($B$16,N($D35)),2)))</f>
      </c>
      <c r="F35" s="16">
        <f>IF($A35="","",ROUND(N($D35)-N($E35),2))</f>
      </c>
      <c r="G35" s="17"/>
      <c r="H35" s="14">
        <f>IF($A35="","","PENDIENTE")</f>
      </c>
      <c r="I35" s="17"/>
    </row>
    <row r="36" ht="15" customHeight="1" spans="1:9" x14ac:dyDescent="0.25">
      <c r="A36" s="14">
        <f>IF(ROW()-21&lt;=N($B$15),ROW()-21,"")</f>
      </c>
      <c r="B36" s="14">
        <f>IF($C36="","",TEXT($C36,"yyyy-mm"))</f>
      </c>
      <c r="C36" s="15">
        <f>IF($A36="","",IF($B$13="ADELANTO DE GRATIFICACIÓN",IF(MONTH($C35)=7,EOMONTH($C35,5),EOMONTH($C35,7)),EOMONTH($C35,1)))</f>
      </c>
      <c r="D36" s="16">
        <f>IF($A36="","",$F35)</f>
      </c>
      <c r="E36" s="16">
        <f>IF($A36="","",IF($A36=N($B$15),ROUND(N($D36),2),ROUND(MIN($B$16,N($D36)),2)))</f>
      </c>
      <c r="F36" s="16">
        <f>IF($A36="","",ROUND(N($D36)-N($E36),2))</f>
      </c>
      <c r="G36" s="17"/>
      <c r="H36" s="14">
        <f>IF($A36="","","PENDIENTE")</f>
      </c>
      <c r="I36" s="17"/>
    </row>
    <row r="37" ht="15" customHeight="1" spans="1:9" x14ac:dyDescent="0.25">
      <c r="A37" s="14">
        <f>IF(ROW()-21&lt;=N($B$15),ROW()-21,"")</f>
      </c>
      <c r="B37" s="14">
        <f>IF($C37="","",TEXT($C37,"yyyy-mm"))</f>
      </c>
      <c r="C37" s="15">
        <f>IF($A37="","",IF($B$13="ADELANTO DE GRATIFICACIÓN",IF(MONTH($C36)=7,EOMONTH($C36,5),EOMONTH($C36,7)),EOMONTH($C36,1)))</f>
      </c>
      <c r="D37" s="16">
        <f>IF($A37="","",$F36)</f>
      </c>
      <c r="E37" s="16">
        <f>IF($A37="","",IF($A37=N($B$15),ROUND(N($D37),2),ROUND(MIN($B$16,N($D37)),2)))</f>
      </c>
      <c r="F37" s="16">
        <f>IF($A37="","",ROUND(N($D37)-N($E37),2))</f>
      </c>
      <c r="G37" s="17"/>
      <c r="H37" s="14">
        <f>IF($A37="","","PENDIENTE")</f>
      </c>
      <c r="I37" s="17"/>
    </row>
    <row r="38" ht="15" customHeight="1" spans="1:9" x14ac:dyDescent="0.25">
      <c r="A38" s="14">
        <f>IF(ROW()-21&lt;=N($B$15),ROW()-21,"")</f>
      </c>
      <c r="B38" s="14">
        <f>IF($C38="","",TEXT($C38,"yyyy-mm"))</f>
      </c>
      <c r="C38" s="15">
        <f>IF($A38="","",IF($B$13="ADELANTO DE GRATIFICACIÓN",IF(MONTH($C37)=7,EOMONTH($C37,5),EOMONTH($C37,7)),EOMONTH($C37,1)))</f>
      </c>
      <c r="D38" s="16">
        <f>IF($A38="","",$F37)</f>
      </c>
      <c r="E38" s="16">
        <f>IF($A38="","",IF($A38=N($B$15),ROUND(N($D38),2),ROUND(MIN($B$16,N($D38)),2)))</f>
      </c>
      <c r="F38" s="16">
        <f>IF($A38="","",ROUND(N($D38)-N($E38),2))</f>
      </c>
      <c r="G38" s="17"/>
      <c r="H38" s="14">
        <f>IF($A38="","","PENDIENTE")</f>
      </c>
      <c r="I38" s="17"/>
    </row>
    <row r="39" ht="15" customHeight="1" spans="1:9" x14ac:dyDescent="0.25">
      <c r="A39" s="14">
        <f>IF(ROW()-21&lt;=N($B$15),ROW()-21,"")</f>
      </c>
      <c r="B39" s="14">
        <f>IF($C39="","",TEXT($C39,"yyyy-mm"))</f>
      </c>
      <c r="C39" s="15">
        <f>IF($A39="","",IF($B$13="ADELANTO DE GRATIFICACIÓN",IF(MONTH($C38)=7,EOMONTH($C38,5),EOMONTH($C38,7)),EOMONTH($C38,1)))</f>
      </c>
      <c r="D39" s="16">
        <f>IF($A39="","",$F38)</f>
      </c>
      <c r="E39" s="16">
        <f>IF($A39="","",IF($A39=N($B$15),ROUND(N($D39),2),ROUND(MIN($B$16,N($D39)),2)))</f>
      </c>
      <c r="F39" s="16">
        <f>IF($A39="","",ROUND(N($D39)-N($E39),2))</f>
      </c>
      <c r="G39" s="17"/>
      <c r="H39" s="14">
        <f>IF($A39="","","PENDIENTE")</f>
      </c>
      <c r="I39" s="17"/>
    </row>
    <row r="40" ht="15" customHeight="1" spans="1:9" x14ac:dyDescent="0.25">
      <c r="A40" s="14">
        <f>IF(ROW()-21&lt;=N($B$15),ROW()-21,"")</f>
      </c>
      <c r="B40" s="14">
        <f>IF($C40="","",TEXT($C40,"yyyy-mm"))</f>
      </c>
      <c r="C40" s="15">
        <f>IF($A40="","",IF($B$13="ADELANTO DE GRATIFICACIÓN",IF(MONTH($C39)=7,EOMONTH($C39,5),EOMONTH($C39,7)),EOMONTH($C39,1)))</f>
      </c>
      <c r="D40" s="16">
        <f>IF($A40="","",$F39)</f>
      </c>
      <c r="E40" s="16">
        <f>IF($A40="","",IF($A40=N($B$15),ROUND(N($D40),2),ROUND(MIN($B$16,N($D40)),2)))</f>
      </c>
      <c r="F40" s="16">
        <f>IF($A40="","",ROUND(N($D40)-N($E40),2))</f>
      </c>
      <c r="G40" s="17"/>
      <c r="H40" s="14">
        <f>IF($A40="","","PENDIENTE")</f>
      </c>
      <c r="I40" s="17"/>
    </row>
    <row r="41" ht="15" customHeight="1" spans="1:9" x14ac:dyDescent="0.25">
      <c r="A41" s="14">
        <f>IF(ROW()-21&lt;=N($B$15),ROW()-21,"")</f>
      </c>
      <c r="B41" s="14">
        <f>IF($C41="","",TEXT($C41,"yyyy-mm"))</f>
      </c>
      <c r="C41" s="15">
        <f>IF($A41="","",IF($B$13="ADELANTO DE GRATIFICACIÓN",IF(MONTH($C40)=7,EOMONTH($C40,5),EOMONTH($C40,7)),EOMONTH($C40,1)))</f>
      </c>
      <c r="D41" s="16">
        <f>IF($A41="","",$F40)</f>
      </c>
      <c r="E41" s="16">
        <f>IF($A41="","",IF($A41=N($B$15),ROUND(N($D41),2),ROUND(MIN($B$16,N($D41)),2)))</f>
      </c>
      <c r="F41" s="16">
        <f>IF($A41="","",ROUND(N($D41)-N($E41),2))</f>
      </c>
      <c r="G41" s="17"/>
      <c r="H41" s="14">
        <f>IF($A41="","","PENDIENTE")</f>
      </c>
      <c r="I41" s="17"/>
    </row>
    <row r="42" ht="15" customHeight="1" spans="1:9" x14ac:dyDescent="0.25">
      <c r="A42" s="14">
        <f>IF(ROW()-21&lt;=N($B$15),ROW()-21,"")</f>
      </c>
      <c r="B42" s="14">
        <f>IF($C42="","",TEXT($C42,"yyyy-mm"))</f>
      </c>
      <c r="C42" s="15">
        <f>IF($A42="","",IF($B$13="ADELANTO DE GRATIFICACIÓN",IF(MONTH($C41)=7,EOMONTH($C41,5),EOMONTH($C41,7)),EOMONTH($C41,1)))</f>
      </c>
      <c r="D42" s="16">
        <f>IF($A42="","",$F41)</f>
      </c>
      <c r="E42" s="16">
        <f>IF($A42="","",IF($A42=N($B$15),ROUND(N($D42),2),ROUND(MIN($B$16,N($D42)),2)))</f>
      </c>
      <c r="F42" s="16">
        <f>IF($A42="","",ROUND(N($D42)-N($E42),2))</f>
      </c>
      <c r="G42" s="17"/>
      <c r="H42" s="14">
        <f>IF($A42="","","PENDIENTE")</f>
      </c>
      <c r="I42" s="17"/>
    </row>
    <row r="43" ht="15" customHeight="1" spans="1:9" x14ac:dyDescent="0.25">
      <c r="A43" s="14">
        <f>IF(ROW()-21&lt;=N($B$15),ROW()-21,"")</f>
      </c>
      <c r="B43" s="14">
        <f>IF($C43="","",TEXT($C43,"yyyy-mm"))</f>
      </c>
      <c r="C43" s="15">
        <f>IF($A43="","",IF($B$13="ADELANTO DE GRATIFICACIÓN",IF(MONTH($C42)=7,EOMONTH($C42,5),EOMONTH($C42,7)),EOMONTH($C42,1)))</f>
      </c>
      <c r="D43" s="16">
        <f>IF($A43="","",$F42)</f>
      </c>
      <c r="E43" s="16">
        <f>IF($A43="","",IF($A43=N($B$15),ROUND(N($D43),2),ROUND(MIN($B$16,N($D43)),2)))</f>
      </c>
      <c r="F43" s="16">
        <f>IF($A43="","",ROUND(N($D43)-N($E43),2))</f>
      </c>
      <c r="G43" s="17"/>
      <c r="H43" s="14">
        <f>IF($A43="","","PENDIENTE")</f>
      </c>
      <c r="I43" s="17"/>
    </row>
    <row r="44" ht="15" customHeight="1" spans="1:9" x14ac:dyDescent="0.25">
      <c r="A44" s="14">
        <f>IF(ROW()-21&lt;=N($B$15),ROW()-21,"")</f>
      </c>
      <c r="B44" s="14">
        <f>IF($C44="","",TEXT($C44,"yyyy-mm"))</f>
      </c>
      <c r="C44" s="15">
        <f>IF($A44="","",IF($B$13="ADELANTO DE GRATIFICACIÓN",IF(MONTH($C43)=7,EOMONTH($C43,5),EOMONTH($C43,7)),EOMONTH($C43,1)))</f>
      </c>
      <c r="D44" s="16">
        <f>IF($A44="","",$F43)</f>
      </c>
      <c r="E44" s="16">
        <f>IF($A44="","",IF($A44=N($B$15),ROUND(N($D44),2),ROUND(MIN($B$16,N($D44)),2)))</f>
      </c>
      <c r="F44" s="16">
        <f>IF($A44="","",ROUND(N($D44)-N($E44),2))</f>
      </c>
      <c r="G44" s="17"/>
      <c r="H44" s="14">
        <f>IF($A44="","","PENDIENTE")</f>
      </c>
      <c r="I44" s="17"/>
    </row>
    <row r="45" ht="15" customHeight="1" spans="1:9" x14ac:dyDescent="0.25">
      <c r="A45" s="14">
        <f>IF(ROW()-21&lt;=N($B$15),ROW()-21,"")</f>
      </c>
      <c r="B45" s="14">
        <f>IF($C45="","",TEXT($C45,"yyyy-mm"))</f>
      </c>
      <c r="C45" s="15">
        <f>IF($A45="","",IF($B$13="ADELANTO DE GRATIFICACIÓN",IF(MONTH($C44)=7,EOMONTH($C44,5),EOMONTH($C44,7)),EOMONTH($C44,1)))</f>
      </c>
      <c r="D45" s="16">
        <f>IF($A45="","",$F44)</f>
      </c>
      <c r="E45" s="16">
        <f>IF($A45="","",IF($A45=N($B$15),ROUND(N($D45),2),ROUND(MIN($B$16,N($D45)),2)))</f>
      </c>
      <c r="F45" s="16">
        <f>IF($A45="","",ROUND(N($D45)-N($E45),2))</f>
      </c>
      <c r="G45" s="17"/>
      <c r="H45" s="14">
        <f>IF($A45="","","PENDIENTE")</f>
      </c>
      <c r="I45" s="17"/>
    </row>
    <row r="46" ht="20" customHeight="1" spans="1:9" x14ac:dyDescent="0.25">
      <c r="A46" s="18" t="s">
        <v>38</v>
      </c>
      <c r="B46" s="18"/>
      <c r="C46" s="18"/>
      <c r="D46" s="18"/>
      <c r="E46" s="19">
        <f>ROUND(SUM(E22:E45),2)</f>
      </c>
      <c r="F46" s="19">
        <f>IFERROR(LOOKUP(2,1/($F$22:$F$45&lt;&gt;""),$F$22:$F$45),0)</f>
      </c>
      <c r="G46" s="20">
        <f>IF(ROUND(E46-N(B14),2)=0,"Cuadra con el monto otorgado","REVISAR: el total no cuadra")</f>
      </c>
      <c r="H46" s="20"/>
      <c r="I46" s="20"/>
    </row>
    <row r="48" ht="20" customHeight="1" spans="1:9" x14ac:dyDescent="0.25">
      <c r="A48" s="3" t="s">
        <v>39</v>
      </c>
      <c r="B48" s="3"/>
      <c r="C48" s="3"/>
      <c r="D48" s="3"/>
      <c r="E48" s="3"/>
      <c r="F48" s="3"/>
      <c r="G48" s="3"/>
      <c r="H48" s="3"/>
      <c r="I48" s="3"/>
    </row>
    <row r="49" ht="62" customHeight="1" spans="1:9" x14ac:dyDescent="0.25">
      <c r="A49" s="21" t="s">
        <v>40</v>
      </c>
      <c r="B49" s="21"/>
      <c r="C49" s="21"/>
      <c r="D49" s="21"/>
      <c r="E49" s="21"/>
      <c r="F49" s="21"/>
      <c r="G49" s="21"/>
      <c r="H49" s="21"/>
      <c r="I49" s="21"/>
    </row>
    <row r="51" spans="1:9" x14ac:dyDescent="0.25">
      <c r="A51" s="22" t="s">
        <v>41</v>
      </c>
      <c r="B51" s="22"/>
      <c r="C51" s="22"/>
      <c r="D51" s="22" t="s">
        <v>42</v>
      </c>
      <c r="E51" s="22"/>
      <c r="F51" s="22"/>
      <c r="G51" s="22" t="s">
        <v>43</v>
      </c>
      <c r="H51" s="22"/>
      <c r="I51" s="22"/>
    </row>
    <row r="52" ht="78" customHeight="1" spans="1:9" x14ac:dyDescent="0.25">
      <c r="A52" s="23" t="s">
        <v>44</v>
      </c>
      <c r="B52" s="23"/>
      <c r="C52" s="23"/>
      <c r="D52" s="23" t="s">
        <v>45</v>
      </c>
      <c r="E52" s="23"/>
      <c r="F52" s="23"/>
      <c r="G52" s="23" t="s">
        <v>46</v>
      </c>
      <c r="H52" s="23"/>
      <c r="I52" s="23"/>
    </row>
    <row r="54" spans="1:6" x14ac:dyDescent="0.25">
      <c r="A54" s="24" t="s">
        <v>47</v>
      </c>
      <c r="B54" s="25" t="s">
        <v>48</v>
      </c>
      <c r="D54" s="26" t="s">
        <v>49</v>
      </c>
      <c r="E54" s="26"/>
      <c r="F54" s="26"/>
    </row>
    <row r="55" spans="1:1" x14ac:dyDescent="0.25">
      <c r="A55" s="27" t="s">
        <v>50</v>
      </c>
    </row>
  </sheetData>
  <mergeCells count="40">
    <mergeCell ref="A1:I1"/>
    <mergeCell ref="A2:I2"/>
    <mergeCell ref="A4:I4"/>
    <mergeCell ref="B5:D5"/>
    <mergeCell ref="G5:I5"/>
    <mergeCell ref="B6:D6"/>
    <mergeCell ref="G6:I6"/>
    <mergeCell ref="B7:D7"/>
    <mergeCell ref="G7:I7"/>
    <mergeCell ref="B8:D8"/>
    <mergeCell ref="G8:I8"/>
    <mergeCell ref="B9:D9"/>
    <mergeCell ref="G9:I9"/>
    <mergeCell ref="B10:D10"/>
    <mergeCell ref="G10:I10"/>
    <mergeCell ref="A12:I12"/>
    <mergeCell ref="B13:D13"/>
    <mergeCell ref="G13:I13"/>
    <mergeCell ref="B14:D14"/>
    <mergeCell ref="G14:I14"/>
    <mergeCell ref="B15:D15"/>
    <mergeCell ref="G15:I15"/>
    <mergeCell ref="B16:D16"/>
    <mergeCell ref="G16:I16"/>
    <mergeCell ref="B17:D17"/>
    <mergeCell ref="G17:I17"/>
    <mergeCell ref="B18:D18"/>
    <mergeCell ref="G18:I18"/>
    <mergeCell ref="A20:I20"/>
    <mergeCell ref="A46:D46"/>
    <mergeCell ref="G46:I46"/>
    <mergeCell ref="A48:I48"/>
    <mergeCell ref="A49:I49"/>
    <mergeCell ref="A51:C51"/>
    <mergeCell ref="D51:F51"/>
    <mergeCell ref="G51:I51"/>
    <mergeCell ref="A52:C52"/>
    <mergeCell ref="D52:F52"/>
    <mergeCell ref="G52:I52"/>
    <mergeCell ref="D54:F54"/>
  </mergeCells>
  <dataValidations count="4">
    <dataValidation type="list" allowBlank="1" showErrorMessage="1" error="Selecciona un valor de la lista." sqref="B13">
      <formula1>"PRÉSTAMO,ADELANTO DE SUELDO,ADELANTO DE GRATIFICACIÓN"</formula1>
    </dataValidation>
    <dataValidation type="list" allowBlank="1" showErrorMessage="1" error="Selecciona un valor de la lista." sqref="G14">
      <formula1>"Transferencia bancaria,Depósito en cuenta,Cheque,Efectivo"</formula1>
    </dataValidation>
    <dataValidation type="list" allowBlank="1" showErrorMessage="1" error="Selecciona un valor de la lista." sqref="G9">
      <formula1>"General (D.L. 728),Pequeña empresa (REMYPE),Microempresa (REMYPE),Agrario (Ley 31110),Construcción civil,Trabajadoras del hogar (Ley 31047)"</formula1>
    </dataValidation>
    <dataValidation type="list" allowBlank="1" showErrorMessage="1" sqref="H22:H45">
      <formula1>"PENDIENTE,DESCONTADA,DIFERIDA,CONDONADA,CANCELADA"</formula1>
    </dataValidation>
  </dataValidations>
  <pageMargins left="0.4" right="0.4" top="0.5" bottom="0.5" header="0.2" footer="0.2"/>
  <pageSetup paperSize="9" orientation="portrait"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workbookViewId="0" showGridLines="0"/>
  </sheetViews>
  <sheetFormatPr defaultRowHeight="15" outlineLevelRow="0" outlineLevelCol="0" x14ac:dyDescent="55"/>
  <cols>
    <col min="1" max="1" width="4" customWidth="1"/>
    <col min="2" max="2" width="30" customWidth="1"/>
    <col min="3" max="3" width="26" customWidth="1"/>
    <col min="4" max="4" width="62" customWidth="1"/>
  </cols>
  <sheetData>
    <row r="1" ht="26" customHeight="1" spans="1:4" x14ac:dyDescent="0.25">
      <c r="A1" s="28" t="s">
        <v>65</v>
      </c>
      <c r="B1" s="28"/>
      <c r="C1" s="28"/>
      <c r="D1" s="28"/>
    </row>
    <row r="3" ht="18" customHeight="1" spans="1:4" x14ac:dyDescent="0.25">
      <c r="A3" s="29" t="s">
        <v>66</v>
      </c>
      <c r="B3" s="29"/>
      <c r="C3" s="29"/>
      <c r="D3" s="29"/>
    </row>
    <row r="4" ht="26" customHeight="1" spans="1:4" x14ac:dyDescent="0.25">
      <c r="A4" s="30">
        <v>1</v>
      </c>
      <c r="B4" s="31" t="s">
        <v>67</v>
      </c>
      <c r="C4" s="31"/>
      <c r="D4" s="31"/>
    </row>
    <row r="5" ht="26" customHeight="1" spans="1:4" x14ac:dyDescent="0.25">
      <c r="A5" s="30">
        <v>2</v>
      </c>
      <c r="B5" s="31" t="s">
        <v>68</v>
      </c>
      <c r="C5" s="31"/>
      <c r="D5" s="31"/>
    </row>
    <row r="6" ht="26" customHeight="1" spans="1:4" x14ac:dyDescent="0.25">
      <c r="A6" s="30">
        <v>3</v>
      </c>
      <c r="B6" s="31" t="s">
        <v>69</v>
      </c>
      <c r="C6" s="31"/>
      <c r="D6" s="31"/>
    </row>
    <row r="7" ht="26" customHeight="1" spans="1:4" x14ac:dyDescent="0.25">
      <c r="A7" s="30">
        <v>4</v>
      </c>
      <c r="B7" s="31" t="s">
        <v>70</v>
      </c>
      <c r="C7" s="31"/>
      <c r="D7" s="31"/>
    </row>
    <row r="8" ht="26" customHeight="1" spans="1:4" x14ac:dyDescent="0.25">
      <c r="A8" s="30">
        <v>5</v>
      </c>
      <c r="B8" s="31" t="s">
        <v>71</v>
      </c>
      <c r="C8" s="31"/>
      <c r="D8" s="31"/>
    </row>
    <row r="10" ht="18" customHeight="1" spans="1:4" x14ac:dyDescent="0.25">
      <c r="A10" s="29" t="s">
        <v>72</v>
      </c>
      <c r="B10" s="29"/>
      <c r="C10" s="29"/>
      <c r="D10" s="29"/>
    </row>
    <row r="11" ht="18" customHeight="1" spans="2:4" x14ac:dyDescent="0.25">
      <c r="B11" s="32" t="s">
        <v>73</v>
      </c>
      <c r="C11" s="32" t="s">
        <v>74</v>
      </c>
      <c r="D11" s="32" t="s">
        <v>75</v>
      </c>
    </row>
    <row r="12" ht="30" customHeight="1" spans="2:4" x14ac:dyDescent="0.25">
      <c r="B12" s="33" t="s">
        <v>76</v>
      </c>
      <c r="C12" s="34" t="s">
        <v>77</v>
      </c>
      <c r="D12" s="35" t="s">
        <v>78</v>
      </c>
    </row>
    <row r="13" ht="30" customHeight="1" spans="2:4" x14ac:dyDescent="0.25">
      <c r="B13" s="33" t="s">
        <v>79</v>
      </c>
      <c r="C13" s="34" t="s">
        <v>80</v>
      </c>
      <c r="D13" s="35" t="s">
        <v>81</v>
      </c>
    </row>
    <row r="14" ht="30" customHeight="1" spans="2:4" x14ac:dyDescent="0.25">
      <c r="B14" s="33" t="s">
        <v>82</v>
      </c>
      <c r="C14" s="34" t="s">
        <v>83</v>
      </c>
      <c r="D14" s="35" t="s">
        <v>84</v>
      </c>
    </row>
    <row r="15" ht="30" customHeight="1" spans="2:4" x14ac:dyDescent="0.25">
      <c r="B15" s="33" t="s">
        <v>85</v>
      </c>
      <c r="C15" s="34" t="s">
        <v>86</v>
      </c>
      <c r="D15" s="35" t="s">
        <v>87</v>
      </c>
    </row>
    <row r="16" ht="30" customHeight="1" spans="2:4" x14ac:dyDescent="0.25">
      <c r="B16" s="33" t="s">
        <v>88</v>
      </c>
      <c r="C16" s="34" t="s">
        <v>89</v>
      </c>
      <c r="D16" s="35" t="s">
        <v>90</v>
      </c>
    </row>
    <row r="17" ht="30" customHeight="1" spans="2:4" x14ac:dyDescent="0.25">
      <c r="B17" s="33" t="s">
        <v>27</v>
      </c>
      <c r="C17" s="34" t="s">
        <v>91</v>
      </c>
      <c r="D17" s="35" t="s">
        <v>92</v>
      </c>
    </row>
    <row r="18" ht="30" customHeight="1" spans="2:4" x14ac:dyDescent="0.25">
      <c r="B18" s="33" t="s">
        <v>93</v>
      </c>
      <c r="C18" s="34" t="s">
        <v>94</v>
      </c>
      <c r="D18" s="35" t="s">
        <v>95</v>
      </c>
    </row>
    <row r="19" ht="30" customHeight="1" spans="2:4" x14ac:dyDescent="0.25">
      <c r="B19" s="33" t="s">
        <v>96</v>
      </c>
      <c r="C19" s="34" t="s">
        <v>97</v>
      </c>
      <c r="D19" s="35" t="s">
        <v>98</v>
      </c>
    </row>
    <row r="21" ht="18" customHeight="1" spans="1:4" x14ac:dyDescent="0.25">
      <c r="A21" s="29" t="s">
        <v>99</v>
      </c>
      <c r="B21" s="29"/>
      <c r="C21" s="29"/>
      <c r="D21" s="29"/>
    </row>
    <row r="22" ht="28" customHeight="1" spans="2:4" x14ac:dyDescent="0.25">
      <c r="B22" s="36" t="s">
        <v>100</v>
      </c>
      <c r="C22" s="21" t="s">
        <v>101</v>
      </c>
      <c r="D22" s="21"/>
    </row>
    <row r="23" ht="28" customHeight="1" spans="2:4" x14ac:dyDescent="0.25">
      <c r="B23" s="36" t="s">
        <v>102</v>
      </c>
      <c r="C23" s="21" t="s">
        <v>103</v>
      </c>
      <c r="D23" s="21"/>
    </row>
    <row r="24" ht="28" customHeight="1" spans="2:4" x14ac:dyDescent="0.25">
      <c r="B24" s="36" t="s">
        <v>104</v>
      </c>
      <c r="C24" s="21" t="s">
        <v>105</v>
      </c>
      <c r="D24" s="21"/>
    </row>
    <row r="25" ht="28" customHeight="1" spans="2:4" x14ac:dyDescent="0.25">
      <c r="B25" s="36" t="s">
        <v>106</v>
      </c>
      <c r="C25" s="21" t="s">
        <v>107</v>
      </c>
      <c r="D25" s="21"/>
    </row>
    <row r="26" ht="28" customHeight="1" spans="2:4" x14ac:dyDescent="0.25">
      <c r="B26" s="36" t="s">
        <v>108</v>
      </c>
      <c r="C26" s="21" t="s">
        <v>109</v>
      </c>
      <c r="D26" s="21"/>
    </row>
  </sheetData>
  <mergeCells count="14">
    <mergeCell ref="A1:D1"/>
    <mergeCell ref="A3:D3"/>
    <mergeCell ref="B4:D4"/>
    <mergeCell ref="B5:D5"/>
    <mergeCell ref="B6:D6"/>
    <mergeCell ref="B7:D7"/>
    <mergeCell ref="B8:D8"/>
    <mergeCell ref="A10:D10"/>
    <mergeCell ref="A21:D21"/>
    <mergeCell ref="C22:D22"/>
    <mergeCell ref="C23:D23"/>
    <mergeCell ref="C24:D24"/>
    <mergeCell ref="C25:D25"/>
    <mergeCell ref="C26:D2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Cronograma</vt:lpstr>
      <vt:lpstr>Ejemplo</vt:lpstr>
      <vt:lpstr>Instructivo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 de Planillas MultiEmpresa</dc:creator>
  <dc:title/>
  <dc:subject/>
  <dc:description/>
  <cp:keywords/>
  <cp:category/>
  <cp:lastModifiedBy>Unknown</cp:lastModifiedBy>
  <dcterms:created xsi:type="dcterms:W3CDTF">2026-08-28T23:55:06Z</dcterms:created>
  <dcterms:modified xsi:type="dcterms:W3CDTF">2026-08-28T23:55:06Z</dcterms:modified>
</cp:coreProperties>
</file>